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defaultThemeVersion="124226"/>
  <mc:AlternateContent xmlns:mc="http://schemas.openxmlformats.org/markup-compatibility/2006">
    <mc:Choice Requires="x15">
      <x15ac:absPath xmlns:x15ac="http://schemas.microsoft.com/office/spreadsheetml/2010/11/ac" url="https://loyosbi.sharepoint.com/sites/KundeFMS-Demo/UploadFolder/"/>
    </mc:Choice>
  </mc:AlternateContent>
  <xr:revisionPtr revIDLastSave="93" documentId="8_{3DB0A819-2EA9-4C32-96C3-698DFCE0B08F}" xr6:coauthVersionLast="47" xr6:coauthVersionMax="47" xr10:uidLastSave="{B987C87E-B1AE-468C-9F29-39A2360100C7}"/>
  <bookViews>
    <workbookView xWindow="-120" yWindow="-120" windowWidth="29040" windowHeight="15840" xr2:uid="{00000000-000D-0000-FFFF-FFFF00000000}"/>
  </bookViews>
  <sheets>
    <sheet name="Sales Pipeline" sheetId="1" r:id="rId1"/>
    <sheet name="Definitions" sheetId="3" r:id="rId2"/>
    <sheet name="Instructions" sheetId="2" r:id="rId3"/>
  </sheets>
  <definedNames>
    <definedName name="Stages">Definitions!$B$2:$B$8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1" l="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2" i="1"/>
</calcChain>
</file>

<file path=xl/sharedStrings.xml><?xml version="1.0" encoding="utf-8"?>
<sst xmlns="http://schemas.openxmlformats.org/spreadsheetml/2006/main" count="1394" uniqueCount="501">
  <si>
    <t>Lead ID</t>
  </si>
  <si>
    <t>Contact Person</t>
  </si>
  <si>
    <t>Lead Source</t>
  </si>
  <si>
    <t>Sales Rep</t>
  </si>
  <si>
    <t>Opportunity Name</t>
  </si>
  <si>
    <t>Stage</t>
  </si>
  <si>
    <t>Stage Change Date</t>
  </si>
  <si>
    <t>Probability (%)</t>
  </si>
  <si>
    <t>Expected Close Date</t>
  </si>
  <si>
    <t>Expected Order Volume (€)</t>
  </si>
  <si>
    <t>Loss Reason</t>
  </si>
  <si>
    <t>Industry</t>
  </si>
  <si>
    <t>Country</t>
  </si>
  <si>
    <t>Notes</t>
  </si>
  <si>
    <t>AL-1000</t>
  </si>
  <si>
    <t>BE-1001</t>
  </si>
  <si>
    <t>GA-1002</t>
  </si>
  <si>
    <t>GA-1003</t>
  </si>
  <si>
    <t>AL-1004</t>
  </si>
  <si>
    <t>BE-1005</t>
  </si>
  <si>
    <t>AL-1006</t>
  </si>
  <si>
    <t>AL-1007</t>
  </si>
  <si>
    <t>GA-1008</t>
  </si>
  <si>
    <t>GA-1009</t>
  </si>
  <si>
    <t>GA-1010</t>
  </si>
  <si>
    <t>GA-1011</t>
  </si>
  <si>
    <t>AL-1012</t>
  </si>
  <si>
    <t>GA-1013</t>
  </si>
  <si>
    <t>BE-1014</t>
  </si>
  <si>
    <t>GA-1015</t>
  </si>
  <si>
    <t>GA-1016</t>
  </si>
  <si>
    <t>BE-1017</t>
  </si>
  <si>
    <t>GA-1018</t>
  </si>
  <si>
    <t>GA-1019</t>
  </si>
  <si>
    <t>GA-1020</t>
  </si>
  <si>
    <t>GA-1021</t>
  </si>
  <si>
    <t>AL-1022</t>
  </si>
  <si>
    <t>AL-1023</t>
  </si>
  <si>
    <t>GA-1024</t>
  </si>
  <si>
    <t>GA-1025</t>
  </si>
  <si>
    <t>GA-1026</t>
  </si>
  <si>
    <t>AL-1027</t>
  </si>
  <si>
    <t>BE-1028</t>
  </si>
  <si>
    <t>GA-1029</t>
  </si>
  <si>
    <t>BE-1030</t>
  </si>
  <si>
    <t>AL-1031</t>
  </si>
  <si>
    <t>AL-1032</t>
  </si>
  <si>
    <t>AL-1033</t>
  </si>
  <si>
    <t>BE-1034</t>
  </si>
  <si>
    <t>AL-1035</t>
  </si>
  <si>
    <t>BE-1036</t>
  </si>
  <si>
    <t>BE-1037</t>
  </si>
  <si>
    <t>GA-1038</t>
  </si>
  <si>
    <t>AL-1039</t>
  </si>
  <si>
    <t>GA-1040</t>
  </si>
  <si>
    <t>BE-1041</t>
  </si>
  <si>
    <t>AL-1042</t>
  </si>
  <si>
    <t>BE-1043</t>
  </si>
  <si>
    <t>BE-1044</t>
  </si>
  <si>
    <t>GA-1045</t>
  </si>
  <si>
    <t>GA-1046</t>
  </si>
  <si>
    <t>AL-1047</t>
  </si>
  <si>
    <t>BE-1048</t>
  </si>
  <si>
    <t>GA-1049</t>
  </si>
  <si>
    <t>BE-1050</t>
  </si>
  <si>
    <t>AL-1051</t>
  </si>
  <si>
    <t>GA-1052</t>
  </si>
  <si>
    <t>BE-1053</t>
  </si>
  <si>
    <t>GA-1054</t>
  </si>
  <si>
    <t>GA-1055</t>
  </si>
  <si>
    <t>BE-1056</t>
  </si>
  <si>
    <t>GA-1057</t>
  </si>
  <si>
    <t>GA-1058</t>
  </si>
  <si>
    <t>BE-1059</t>
  </si>
  <si>
    <t>BE-1060</t>
  </si>
  <si>
    <t>GA-1061</t>
  </si>
  <si>
    <t>GA-1062</t>
  </si>
  <si>
    <t>GA-1063</t>
  </si>
  <si>
    <t>GA-1064</t>
  </si>
  <si>
    <t>GA-1065</t>
  </si>
  <si>
    <t>BE-1066</t>
  </si>
  <si>
    <t>BE-1067</t>
  </si>
  <si>
    <t>GA-1068</t>
  </si>
  <si>
    <t>AL-1069</t>
  </si>
  <si>
    <t>BE-1070</t>
  </si>
  <si>
    <t>BE-1071</t>
  </si>
  <si>
    <t>AL-1072</t>
  </si>
  <si>
    <t>BE-1073</t>
  </si>
  <si>
    <t>AL-1074</t>
  </si>
  <si>
    <t>AL-1075</t>
  </si>
  <si>
    <t>BE-1076</t>
  </si>
  <si>
    <t>AL-1077</t>
  </si>
  <si>
    <t>AL-1078</t>
  </si>
  <si>
    <t>GA-1079</t>
  </si>
  <si>
    <t>GA-1080</t>
  </si>
  <si>
    <t>GA-1081</t>
  </si>
  <si>
    <t>GA-1082</t>
  </si>
  <si>
    <t>AL-1083</t>
  </si>
  <si>
    <t>AL-1084</t>
  </si>
  <si>
    <t>BE-1085</t>
  </si>
  <si>
    <t>GA-1086</t>
  </si>
  <si>
    <t>GA-1087</t>
  </si>
  <si>
    <t>AL-1088</t>
  </si>
  <si>
    <t>AL-1089</t>
  </si>
  <si>
    <t>GA-1090</t>
  </si>
  <si>
    <t>AL-1091</t>
  </si>
  <si>
    <t>BE-1092</t>
  </si>
  <si>
    <t>BE-1093</t>
  </si>
  <si>
    <t>BE-1094</t>
  </si>
  <si>
    <t>AL-1095</t>
  </si>
  <si>
    <t>BE-1096</t>
  </si>
  <si>
    <t>AL-1097</t>
  </si>
  <si>
    <t>AL-1098</t>
  </si>
  <si>
    <t>AL-1099</t>
  </si>
  <si>
    <t>GA-1100</t>
  </si>
  <si>
    <t>GA-1101</t>
  </si>
  <si>
    <t>BE-1102</t>
  </si>
  <si>
    <t>GA-1103</t>
  </si>
  <si>
    <t>AL-1104</t>
  </si>
  <si>
    <t>AL-1105</t>
  </si>
  <si>
    <t>BE-1106</t>
  </si>
  <si>
    <t>BE-1107</t>
  </si>
  <si>
    <t>GA-1108</t>
  </si>
  <si>
    <t>GA-1109</t>
  </si>
  <si>
    <t>BE-1110</t>
  </si>
  <si>
    <t>AL-1111</t>
  </si>
  <si>
    <t>GA-1112</t>
  </si>
  <si>
    <t>AL-1113</t>
  </si>
  <si>
    <t>AL-1114</t>
  </si>
  <si>
    <t>BE-1115</t>
  </si>
  <si>
    <t>GA-1116</t>
  </si>
  <si>
    <t>AL-1117</t>
  </si>
  <si>
    <t>AL-1118</t>
  </si>
  <si>
    <t>GA-1119</t>
  </si>
  <si>
    <t>BE-1120</t>
  </si>
  <si>
    <t>AL-1121</t>
  </si>
  <si>
    <t>GA-1122</t>
  </si>
  <si>
    <t>AL-1123</t>
  </si>
  <si>
    <t>BE-1124</t>
  </si>
  <si>
    <t>BE-1125</t>
  </si>
  <si>
    <t>GA-1126</t>
  </si>
  <si>
    <t>GA-1127</t>
  </si>
  <si>
    <t>GA-1128</t>
  </si>
  <si>
    <t>BE-1129</t>
  </si>
  <si>
    <t>BE-1130</t>
  </si>
  <si>
    <t>GA-1131</t>
  </si>
  <si>
    <t>AL-1132</t>
  </si>
  <si>
    <t>BE-1133</t>
  </si>
  <si>
    <t>AL-1134</t>
  </si>
  <si>
    <t>GA-1135</t>
  </si>
  <si>
    <t>GA-1136</t>
  </si>
  <si>
    <t>AL-1137</t>
  </si>
  <si>
    <t>AL-1138</t>
  </si>
  <si>
    <t>AL-1139</t>
  </si>
  <si>
    <t>BE-1140</t>
  </si>
  <si>
    <t>AL-1141</t>
  </si>
  <si>
    <t>BE-1142</t>
  </si>
  <si>
    <t>BE-1143</t>
  </si>
  <si>
    <t>BE-1144</t>
  </si>
  <si>
    <t>BE-1145</t>
  </si>
  <si>
    <t>GA-1146</t>
  </si>
  <si>
    <t>GA-1147</t>
  </si>
  <si>
    <t>AL-1148</t>
  </si>
  <si>
    <t>AL-1149</t>
  </si>
  <si>
    <t>AlphaTech GmbH</t>
  </si>
  <si>
    <t>BetaLogics GmbH</t>
  </si>
  <si>
    <t>GammaSolutions GmbH</t>
  </si>
  <si>
    <t>Contact 0</t>
  </si>
  <si>
    <t>Contact 1</t>
  </si>
  <si>
    <t>Contact 2</t>
  </si>
  <si>
    <t>Contact 3</t>
  </si>
  <si>
    <t>Contact 4</t>
  </si>
  <si>
    <t>Contact 5</t>
  </si>
  <si>
    <t>Contact 6</t>
  </si>
  <si>
    <t>Contact 7</t>
  </si>
  <si>
    <t>Contact 8</t>
  </si>
  <si>
    <t>Contact 9</t>
  </si>
  <si>
    <t>Contact 10</t>
  </si>
  <si>
    <t>Contact 11</t>
  </si>
  <si>
    <t>Contact 12</t>
  </si>
  <si>
    <t>Contact 13</t>
  </si>
  <si>
    <t>Contact 14</t>
  </si>
  <si>
    <t>Contact 15</t>
  </si>
  <si>
    <t>Contact 16</t>
  </si>
  <si>
    <t>Contact 17</t>
  </si>
  <si>
    <t>Contact 18</t>
  </si>
  <si>
    <t>Contact 19</t>
  </si>
  <si>
    <t>Contact 20</t>
  </si>
  <si>
    <t>Contact 21</t>
  </si>
  <si>
    <t>Contact 22</t>
  </si>
  <si>
    <t>Contact 23</t>
  </si>
  <si>
    <t>Contact 24</t>
  </si>
  <si>
    <t>Contact 25</t>
  </si>
  <si>
    <t>Contact 26</t>
  </si>
  <si>
    <t>Contact 27</t>
  </si>
  <si>
    <t>Contact 28</t>
  </si>
  <si>
    <t>Contact 29</t>
  </si>
  <si>
    <t>Contact 30</t>
  </si>
  <si>
    <t>Contact 31</t>
  </si>
  <si>
    <t>Contact 32</t>
  </si>
  <si>
    <t>Contact 33</t>
  </si>
  <si>
    <t>Contact 34</t>
  </si>
  <si>
    <t>Contact 35</t>
  </si>
  <si>
    <t>Contact 36</t>
  </si>
  <si>
    <t>Contact 37</t>
  </si>
  <si>
    <t>Contact 38</t>
  </si>
  <si>
    <t>Contact 39</t>
  </si>
  <si>
    <t>Contact 40</t>
  </si>
  <si>
    <t>Contact 41</t>
  </si>
  <si>
    <t>Contact 42</t>
  </si>
  <si>
    <t>Contact 43</t>
  </si>
  <si>
    <t>Contact 44</t>
  </si>
  <si>
    <t>Contact 45</t>
  </si>
  <si>
    <t>Contact 46</t>
  </si>
  <si>
    <t>Contact 47</t>
  </si>
  <si>
    <t>Contact 48</t>
  </si>
  <si>
    <t>Contact 49</t>
  </si>
  <si>
    <t>Contact 50</t>
  </si>
  <si>
    <t>Contact 51</t>
  </si>
  <si>
    <t>Contact 52</t>
  </si>
  <si>
    <t>Contact 53</t>
  </si>
  <si>
    <t>Contact 54</t>
  </si>
  <si>
    <t>Contact 55</t>
  </si>
  <si>
    <t>Contact 56</t>
  </si>
  <si>
    <t>Contact 57</t>
  </si>
  <si>
    <t>Contact 58</t>
  </si>
  <si>
    <t>Contact 59</t>
  </si>
  <si>
    <t>Contact 60</t>
  </si>
  <si>
    <t>Contact 61</t>
  </si>
  <si>
    <t>Contact 62</t>
  </si>
  <si>
    <t>Contact 63</t>
  </si>
  <si>
    <t>Contact 64</t>
  </si>
  <si>
    <t>Contact 65</t>
  </si>
  <si>
    <t>Contact 66</t>
  </si>
  <si>
    <t>Contact 67</t>
  </si>
  <si>
    <t>Contact 68</t>
  </si>
  <si>
    <t>Contact 69</t>
  </si>
  <si>
    <t>Contact 70</t>
  </si>
  <si>
    <t>Contact 71</t>
  </si>
  <si>
    <t>Contact 72</t>
  </si>
  <si>
    <t>Contact 73</t>
  </si>
  <si>
    <t>Contact 74</t>
  </si>
  <si>
    <t>Contact 75</t>
  </si>
  <si>
    <t>Contact 76</t>
  </si>
  <si>
    <t>Contact 77</t>
  </si>
  <si>
    <t>Contact 78</t>
  </si>
  <si>
    <t>Contact 79</t>
  </si>
  <si>
    <t>Contact 80</t>
  </si>
  <si>
    <t>Contact 81</t>
  </si>
  <si>
    <t>Contact 82</t>
  </si>
  <si>
    <t>Contact 83</t>
  </si>
  <si>
    <t>Contact 84</t>
  </si>
  <si>
    <t>Contact 85</t>
  </si>
  <si>
    <t>Contact 86</t>
  </si>
  <si>
    <t>Contact 87</t>
  </si>
  <si>
    <t>Contact 88</t>
  </si>
  <si>
    <t>Contact 89</t>
  </si>
  <si>
    <t>Contact 90</t>
  </si>
  <si>
    <t>Contact 91</t>
  </si>
  <si>
    <t>Contact 92</t>
  </si>
  <si>
    <t>Contact 93</t>
  </si>
  <si>
    <t>Contact 94</t>
  </si>
  <si>
    <t>Contact 95</t>
  </si>
  <si>
    <t>Contact 96</t>
  </si>
  <si>
    <t>Contact 97</t>
  </si>
  <si>
    <t>Contact 98</t>
  </si>
  <si>
    <t>Contact 99</t>
  </si>
  <si>
    <t>Contact 100</t>
  </si>
  <si>
    <t>Contact 101</t>
  </si>
  <si>
    <t>Contact 102</t>
  </si>
  <si>
    <t>Contact 103</t>
  </si>
  <si>
    <t>Contact 104</t>
  </si>
  <si>
    <t>Contact 105</t>
  </si>
  <si>
    <t>Contact 106</t>
  </si>
  <si>
    <t>Contact 107</t>
  </si>
  <si>
    <t>Contact 108</t>
  </si>
  <si>
    <t>Contact 109</t>
  </si>
  <si>
    <t>Contact 110</t>
  </si>
  <si>
    <t>Contact 111</t>
  </si>
  <si>
    <t>Contact 112</t>
  </si>
  <si>
    <t>Contact 113</t>
  </si>
  <si>
    <t>Contact 114</t>
  </si>
  <si>
    <t>Contact 115</t>
  </si>
  <si>
    <t>Contact 116</t>
  </si>
  <si>
    <t>Contact 117</t>
  </si>
  <si>
    <t>Contact 118</t>
  </si>
  <si>
    <t>Contact 119</t>
  </si>
  <si>
    <t>Contact 120</t>
  </si>
  <si>
    <t>Contact 121</t>
  </si>
  <si>
    <t>Contact 122</t>
  </si>
  <si>
    <t>Contact 123</t>
  </si>
  <si>
    <t>Contact 124</t>
  </si>
  <si>
    <t>Contact 125</t>
  </si>
  <si>
    <t>Contact 126</t>
  </si>
  <si>
    <t>Contact 127</t>
  </si>
  <si>
    <t>Contact 128</t>
  </si>
  <si>
    <t>Contact 129</t>
  </si>
  <si>
    <t>Contact 130</t>
  </si>
  <si>
    <t>Contact 131</t>
  </si>
  <si>
    <t>Contact 132</t>
  </si>
  <si>
    <t>Contact 133</t>
  </si>
  <si>
    <t>Contact 134</t>
  </si>
  <si>
    <t>Contact 135</t>
  </si>
  <si>
    <t>Contact 136</t>
  </si>
  <si>
    <t>Contact 137</t>
  </si>
  <si>
    <t>Contact 138</t>
  </si>
  <si>
    <t>Contact 139</t>
  </si>
  <si>
    <t>Contact 140</t>
  </si>
  <si>
    <t>Contact 141</t>
  </si>
  <si>
    <t>Contact 142</t>
  </si>
  <si>
    <t>Contact 143</t>
  </si>
  <si>
    <t>Contact 144</t>
  </si>
  <si>
    <t>Contact 145</t>
  </si>
  <si>
    <t>Contact 146</t>
  </si>
  <si>
    <t>Contact 147</t>
  </si>
  <si>
    <t>Contact 148</t>
  </si>
  <si>
    <t>Contact 149</t>
  </si>
  <si>
    <t>Referral</t>
  </si>
  <si>
    <t>Outbound</t>
  </si>
  <si>
    <t>Other</t>
  </si>
  <si>
    <t>Event</t>
  </si>
  <si>
    <t>Inbound</t>
  </si>
  <si>
    <t>Website</t>
  </si>
  <si>
    <t>Rep 3</t>
  </si>
  <si>
    <t>Rep 5</t>
  </si>
  <si>
    <t>Rep 1</t>
  </si>
  <si>
    <t>Rep 2</t>
  </si>
  <si>
    <t>Rep 4</t>
  </si>
  <si>
    <t>Opportunity 0</t>
  </si>
  <si>
    <t>Opportunity 1</t>
  </si>
  <si>
    <t>Opportunity 2</t>
  </si>
  <si>
    <t>Opportunity 3</t>
  </si>
  <si>
    <t>Opportunity 4</t>
  </si>
  <si>
    <t>Opportunity 5</t>
  </si>
  <si>
    <t>Opportunity 6</t>
  </si>
  <si>
    <t>Opportunity 7</t>
  </si>
  <si>
    <t>Opportunity 8</t>
  </si>
  <si>
    <t>Opportunity 9</t>
  </si>
  <si>
    <t>Opportunity 10</t>
  </si>
  <si>
    <t>Opportunity 11</t>
  </si>
  <si>
    <t>Opportunity 12</t>
  </si>
  <si>
    <t>Opportunity 13</t>
  </si>
  <si>
    <t>Opportunity 14</t>
  </si>
  <si>
    <t>Opportunity 15</t>
  </si>
  <si>
    <t>Opportunity 16</t>
  </si>
  <si>
    <t>Opportunity 17</t>
  </si>
  <si>
    <t>Opportunity 18</t>
  </si>
  <si>
    <t>Opportunity 19</t>
  </si>
  <si>
    <t>Opportunity 20</t>
  </si>
  <si>
    <t>Opportunity 21</t>
  </si>
  <si>
    <t>Opportunity 22</t>
  </si>
  <si>
    <t>Opportunity 23</t>
  </si>
  <si>
    <t>Opportunity 24</t>
  </si>
  <si>
    <t>Opportunity 25</t>
  </si>
  <si>
    <t>Opportunity 26</t>
  </si>
  <si>
    <t>Opportunity 27</t>
  </si>
  <si>
    <t>Opportunity 28</t>
  </si>
  <si>
    <t>Opportunity 29</t>
  </si>
  <si>
    <t>Opportunity 30</t>
  </si>
  <si>
    <t>Opportunity 31</t>
  </si>
  <si>
    <t>Opportunity 32</t>
  </si>
  <si>
    <t>Opportunity 33</t>
  </si>
  <si>
    <t>Opportunity 34</t>
  </si>
  <si>
    <t>Opportunity 35</t>
  </si>
  <si>
    <t>Opportunity 36</t>
  </si>
  <si>
    <t>Opportunity 37</t>
  </si>
  <si>
    <t>Opportunity 38</t>
  </si>
  <si>
    <t>Opportunity 39</t>
  </si>
  <si>
    <t>Opportunity 40</t>
  </si>
  <si>
    <t>Opportunity 41</t>
  </si>
  <si>
    <t>Opportunity 42</t>
  </si>
  <si>
    <t>Opportunity 43</t>
  </si>
  <si>
    <t>Opportunity 44</t>
  </si>
  <si>
    <t>Opportunity 45</t>
  </si>
  <si>
    <t>Opportunity 46</t>
  </si>
  <si>
    <t>Opportunity 47</t>
  </si>
  <si>
    <t>Opportunity 48</t>
  </si>
  <si>
    <t>Opportunity 49</t>
  </si>
  <si>
    <t>Opportunity 50</t>
  </si>
  <si>
    <t>Opportunity 51</t>
  </si>
  <si>
    <t>Opportunity 52</t>
  </si>
  <si>
    <t>Opportunity 53</t>
  </si>
  <si>
    <t>Opportunity 54</t>
  </si>
  <si>
    <t>Opportunity 55</t>
  </si>
  <si>
    <t>Opportunity 56</t>
  </si>
  <si>
    <t>Opportunity 57</t>
  </si>
  <si>
    <t>Opportunity 58</t>
  </si>
  <si>
    <t>Opportunity 59</t>
  </si>
  <si>
    <t>Opportunity 60</t>
  </si>
  <si>
    <t>Opportunity 61</t>
  </si>
  <si>
    <t>Opportunity 62</t>
  </si>
  <si>
    <t>Opportunity 63</t>
  </si>
  <si>
    <t>Opportunity 64</t>
  </si>
  <si>
    <t>Opportunity 65</t>
  </si>
  <si>
    <t>Opportunity 66</t>
  </si>
  <si>
    <t>Opportunity 67</t>
  </si>
  <si>
    <t>Opportunity 68</t>
  </si>
  <si>
    <t>Opportunity 69</t>
  </si>
  <si>
    <t>Opportunity 70</t>
  </si>
  <si>
    <t>Opportunity 71</t>
  </si>
  <si>
    <t>Opportunity 72</t>
  </si>
  <si>
    <t>Opportunity 73</t>
  </si>
  <si>
    <t>Opportunity 74</t>
  </si>
  <si>
    <t>Opportunity 75</t>
  </si>
  <si>
    <t>Opportunity 76</t>
  </si>
  <si>
    <t>Opportunity 77</t>
  </si>
  <si>
    <t>Opportunity 78</t>
  </si>
  <si>
    <t>Opportunity 79</t>
  </si>
  <si>
    <t>Opportunity 80</t>
  </si>
  <si>
    <t>Opportunity 81</t>
  </si>
  <si>
    <t>Opportunity 82</t>
  </si>
  <si>
    <t>Opportunity 83</t>
  </si>
  <si>
    <t>Opportunity 84</t>
  </si>
  <si>
    <t>Opportunity 85</t>
  </si>
  <si>
    <t>Opportunity 86</t>
  </si>
  <si>
    <t>Opportunity 87</t>
  </si>
  <si>
    <t>Opportunity 88</t>
  </si>
  <si>
    <t>Opportunity 89</t>
  </si>
  <si>
    <t>Opportunity 90</t>
  </si>
  <si>
    <t>Opportunity 91</t>
  </si>
  <si>
    <t>Opportunity 92</t>
  </si>
  <si>
    <t>Opportunity 93</t>
  </si>
  <si>
    <t>Opportunity 94</t>
  </si>
  <si>
    <t>Opportunity 95</t>
  </si>
  <si>
    <t>Opportunity 96</t>
  </si>
  <si>
    <t>Opportunity 97</t>
  </si>
  <si>
    <t>Opportunity 98</t>
  </si>
  <si>
    <t>Opportunity 99</t>
  </si>
  <si>
    <t>Opportunity 100</t>
  </si>
  <si>
    <t>Opportunity 101</t>
  </si>
  <si>
    <t>Opportunity 102</t>
  </si>
  <si>
    <t>Opportunity 103</t>
  </si>
  <si>
    <t>Opportunity 104</t>
  </si>
  <si>
    <t>Opportunity 105</t>
  </si>
  <si>
    <t>Opportunity 106</t>
  </si>
  <si>
    <t>Opportunity 107</t>
  </si>
  <si>
    <t>Opportunity 108</t>
  </si>
  <si>
    <t>Opportunity 109</t>
  </si>
  <si>
    <t>Opportunity 110</t>
  </si>
  <si>
    <t>Opportunity 111</t>
  </si>
  <si>
    <t>Opportunity 112</t>
  </si>
  <si>
    <t>Opportunity 113</t>
  </si>
  <si>
    <t>Opportunity 114</t>
  </si>
  <si>
    <t>Opportunity 115</t>
  </si>
  <si>
    <t>Opportunity 116</t>
  </si>
  <si>
    <t>Opportunity 117</t>
  </si>
  <si>
    <t>Opportunity 118</t>
  </si>
  <si>
    <t>Opportunity 119</t>
  </si>
  <si>
    <t>Opportunity 120</t>
  </si>
  <si>
    <t>Opportunity 121</t>
  </si>
  <si>
    <t>Opportunity 122</t>
  </si>
  <si>
    <t>Opportunity 123</t>
  </si>
  <si>
    <t>Opportunity 124</t>
  </si>
  <si>
    <t>Opportunity 125</t>
  </si>
  <si>
    <t>Opportunity 126</t>
  </si>
  <si>
    <t>Opportunity 127</t>
  </si>
  <si>
    <t>Opportunity 128</t>
  </si>
  <si>
    <t>Opportunity 129</t>
  </si>
  <si>
    <t>Opportunity 130</t>
  </si>
  <si>
    <t>Opportunity 131</t>
  </si>
  <si>
    <t>Opportunity 132</t>
  </si>
  <si>
    <t>Opportunity 133</t>
  </si>
  <si>
    <t>Opportunity 134</t>
  </si>
  <si>
    <t>Opportunity 135</t>
  </si>
  <si>
    <t>Opportunity 136</t>
  </si>
  <si>
    <t>Opportunity 137</t>
  </si>
  <si>
    <t>Opportunity 138</t>
  </si>
  <si>
    <t>Opportunity 139</t>
  </si>
  <si>
    <t>Opportunity 140</t>
  </si>
  <si>
    <t>Opportunity 141</t>
  </si>
  <si>
    <t>Opportunity 142</t>
  </si>
  <si>
    <t>Opportunity 143</t>
  </si>
  <si>
    <t>Opportunity 144</t>
  </si>
  <si>
    <t>Opportunity 145</t>
  </si>
  <si>
    <t>Opportunity 146</t>
  </si>
  <si>
    <t>Opportunity 147</t>
  </si>
  <si>
    <t>Opportunity 148</t>
  </si>
  <si>
    <t>Opportunity 149</t>
  </si>
  <si>
    <t>Lost</t>
  </si>
  <si>
    <t>Lead</t>
  </si>
  <si>
    <t>Won</t>
  </si>
  <si>
    <t>Qualified</t>
  </si>
  <si>
    <t>Proposal</t>
  </si>
  <si>
    <t>Negotiation</t>
  </si>
  <si>
    <t>Price</t>
  </si>
  <si>
    <t>Timing</t>
  </si>
  <si>
    <t>Competitor</t>
  </si>
  <si>
    <t>No Budget</t>
  </si>
  <si>
    <t>Finance</t>
  </si>
  <si>
    <t>Healthcare</t>
  </si>
  <si>
    <t>Software</t>
  </si>
  <si>
    <t>Manufacturing</t>
  </si>
  <si>
    <t>Austria</t>
  </si>
  <si>
    <t>Germany</t>
  </si>
  <si>
    <t>Switzerland</t>
  </si>
  <si>
    <t xml:space="preserve">
Instructions for Filling the Sales Pipeline Template:
1. Each row represents a single sales opportunity or lead.
2. 'Lead ID' should be a unique identifier (e.g., CRM ID or sequential number).
3. Use drop-down values for 'Stage', 'Deal Status', and 'Lead Source'.
4. 'Stage' options: Lead, Qualified, Proposal, Negotiation, Won, Lost
5. 'Deal Status' options: Open, Won, Lost
6. 'Lead Source' options: Inbound, Outbound, Referral, Event, Website, Other
7. Dates must follow the format: YYYY-MM-DD
8. 'Probability (%)' should be a number between 0 and 100.
9. 'Expected Order Volume (€)' should be a numeric value (e.g., 50000)
10. 'Loss Reason' should be filled only if 'Deal Status' is Lost.
This template is designed to integrate seamlessly into Power BI.
Do not change sheet names or merge cells. Avoid adding totals or formulas.
</t>
  </si>
  <si>
    <t>Instructions</t>
  </si>
  <si>
    <t>Stages</t>
  </si>
  <si>
    <t>Probability</t>
  </si>
  <si>
    <t>ID</t>
  </si>
  <si>
    <t>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</si>
</sst>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6" formatCode="_-* #,##0_-;\-* #,##0_-;_-* &quot;-&quot;??_-;_-@_-"/>
  </numFmts>
  <fonts count="4" x14ac:knownFonts="1">
    <font>
      <sz val="11"/>
      <color theme="1"/>
      <name val="Calibri"/>
      <family val="2"/>
      <scheme val="minor"/>
    </font>
    <font>
      <b/>
      <sz val="11"/>
      <color theme="1"/>
      <name val="Calibri"/>
      <family val="2"/>
      <scheme val="minor"/>
    </font>
    <font>
      <sz val="11"/>
      <color theme="1"/>
      <name val="Calibri"/>
      <family val="2"/>
      <scheme val="minor"/>
    </font>
    <font>
      <b/>
      <sz val="11"/>
      <color theme="0"/>
      <name val="Calibri"/>
      <family val="2"/>
      <scheme val="minor"/>
    </font>
  </fonts>
  <fills count="4">
    <fill>
      <patternFill patternType="none"/>
    </fill>
    <fill>
      <patternFill patternType="gray125"/>
    </fill>
    <fill>
      <patternFill patternType="solid">
        <fgColor rgb="FF0070C0"/>
        <bgColor indexed="64"/>
      </patternFill>
    </fill>
    <fill>
      <patternFill patternType="solid">
        <fgColor theme="3"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43" fontId="2" fillId="0" borderId="0" applyFont="0" applyFill="0" applyBorder="0" applyAlignment="0" applyProtection="0"/>
    <xf numFmtId="9" fontId="2" fillId="0" borderId="0" applyFont="0" applyFill="0" applyBorder="0" applyAlignment="0" applyProtection="0"/>
  </cellStyleXfs>
  <cellXfs count="12">
    <xf numFmtId="0" fontId="0" fillId="0" borderId="0" xfId="0"/>
    <xf numFmtId="0" fontId="0" fillId="0" borderId="0" xfId="0" applyAlignment="1">
      <alignment wrapText="1"/>
    </xf>
    <xf numFmtId="0" fontId="1" fillId="0" borderId="1" xfId="0" applyFont="1" applyBorder="1" applyAlignment="1">
      <alignment horizontal="center" vertical="top" wrapText="1"/>
    </xf>
    <xf numFmtId="0" fontId="3" fillId="2" borderId="1" xfId="0" applyFont="1" applyFill="1" applyBorder="1" applyAlignment="1">
      <alignment horizontal="center" vertical="top"/>
    </xf>
    <xf numFmtId="9" fontId="0" fillId="0" borderId="0" xfId="0" applyNumberFormat="1"/>
    <xf numFmtId="9" fontId="1" fillId="0" borderId="1" xfId="2" applyFont="1" applyBorder="1" applyAlignment="1">
      <alignment horizontal="center" vertical="top"/>
    </xf>
    <xf numFmtId="9" fontId="0" fillId="0" borderId="0" xfId="2" applyFont="1"/>
    <xf numFmtId="14" fontId="3" fillId="2" borderId="1" xfId="0" applyNumberFormat="1" applyFont="1" applyFill="1" applyBorder="1" applyAlignment="1">
      <alignment horizontal="center" vertical="top"/>
    </xf>
    <xf numFmtId="14" fontId="0" fillId="0" borderId="0" xfId="0" applyNumberFormat="1"/>
    <xf numFmtId="166" fontId="3" fillId="2" borderId="1" xfId="1" applyNumberFormat="1" applyFont="1" applyFill="1" applyBorder="1" applyAlignment="1">
      <alignment horizontal="center" vertical="top"/>
    </xf>
    <xf numFmtId="166" fontId="0" fillId="0" borderId="0" xfId="1" applyNumberFormat="1" applyFont="1"/>
    <xf numFmtId="0" fontId="1" fillId="3" borderId="1" xfId="0" applyFont="1" applyFill="1" applyBorder="1" applyAlignment="1">
      <alignment horizontal="center" vertical="top"/>
    </xf>
  </cellXfs>
  <cellStyles count="3">
    <cellStyle name="Komma" xfId="1" builtinId="3"/>
    <cellStyle name="Prozent" xfId="2" builtinId="5"/>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51"/>
  <sheetViews>
    <sheetView tabSelected="1" workbookViewId="0">
      <pane xSplit="3" ySplit="1" topLeftCell="D2" activePane="bottomRight" state="frozen"/>
      <selection pane="topRight" activeCell="D1" sqref="D1"/>
      <selection pane="bottomLeft" activeCell="A2" sqref="A2"/>
      <selection pane="bottomRight" activeCell="F8" sqref="F8"/>
    </sheetView>
  </sheetViews>
  <sheetFormatPr baseColWidth="10" defaultColWidth="9.140625" defaultRowHeight="15" x14ac:dyDescent="0.25"/>
  <cols>
    <col min="1" max="1" width="14.85546875" customWidth="1"/>
    <col min="2" max="2" width="24.85546875" customWidth="1"/>
    <col min="3" max="3" width="22.140625" customWidth="1"/>
    <col min="4" max="4" width="18.7109375" customWidth="1"/>
    <col min="5" max="5" width="16.28515625" customWidth="1"/>
    <col min="6" max="6" width="17.7109375" bestFit="1" customWidth="1"/>
    <col min="7" max="7" width="11.5703125" bestFit="1" customWidth="1"/>
    <col min="8" max="8" width="21.42578125" style="8" customWidth="1"/>
    <col min="9" max="9" width="14.140625" style="6" bestFit="1" customWidth="1"/>
    <col min="10" max="10" width="21.42578125" style="8" customWidth="1"/>
    <col min="11" max="11" width="25.28515625" style="10" bestFit="1" customWidth="1"/>
    <col min="12" max="12" width="11.5703125" bestFit="1" customWidth="1"/>
    <col min="13" max="13" width="35.140625" customWidth="1"/>
    <col min="14" max="14" width="40.85546875" customWidth="1"/>
    <col min="15" max="15" width="34.28515625" customWidth="1"/>
  </cols>
  <sheetData>
    <row r="1" spans="1:15" x14ac:dyDescent="0.25">
      <c r="A1" s="3" t="s">
        <v>0</v>
      </c>
      <c r="B1" s="3" t="s">
        <v>500</v>
      </c>
      <c r="C1" s="3" t="s">
        <v>1</v>
      </c>
      <c r="D1" s="3" t="s">
        <v>2</v>
      </c>
      <c r="E1" s="3" t="s">
        <v>3</v>
      </c>
      <c r="F1" s="3" t="s">
        <v>4</v>
      </c>
      <c r="G1" s="3" t="s">
        <v>5</v>
      </c>
      <c r="H1" s="7" t="s">
        <v>6</v>
      </c>
      <c r="I1" s="5" t="s">
        <v>7</v>
      </c>
      <c r="J1" s="7" t="s">
        <v>8</v>
      </c>
      <c r="K1" s="9" t="s">
        <v>9</v>
      </c>
      <c r="L1" s="3" t="s">
        <v>10</v>
      </c>
      <c r="M1" s="11" t="s">
        <v>11</v>
      </c>
      <c r="N1" s="11" t="s">
        <v>12</v>
      </c>
      <c r="O1" s="11" t="s">
        <v>13</v>
      </c>
    </row>
    <row r="2" spans="1:15" x14ac:dyDescent="0.25">
      <c r="A2" t="s">
        <v>14</v>
      </c>
      <c r="B2" t="s">
        <v>164</v>
      </c>
      <c r="C2" t="s">
        <v>167</v>
      </c>
      <c r="D2" t="s">
        <v>317</v>
      </c>
      <c r="E2" t="s">
        <v>323</v>
      </c>
      <c r="F2" t="s">
        <v>328</v>
      </c>
      <c r="G2" t="s">
        <v>478</v>
      </c>
      <c r="H2" s="8">
        <v>45692</v>
      </c>
      <c r="I2" s="6">
        <f>VLOOKUP(G2,Definitions!$B:$C,2,0)</f>
        <v>0</v>
      </c>
      <c r="J2" s="8">
        <v>45723</v>
      </c>
      <c r="K2" s="10">
        <v>20500</v>
      </c>
      <c r="L2" t="s">
        <v>484</v>
      </c>
      <c r="M2" t="s">
        <v>488</v>
      </c>
      <c r="N2" t="s">
        <v>492</v>
      </c>
    </row>
    <row r="3" spans="1:15" x14ac:dyDescent="0.25">
      <c r="A3" t="s">
        <v>15</v>
      </c>
      <c r="B3" t="s">
        <v>165</v>
      </c>
      <c r="C3" t="s">
        <v>168</v>
      </c>
      <c r="D3" t="s">
        <v>318</v>
      </c>
      <c r="E3" t="s">
        <v>324</v>
      </c>
      <c r="F3" t="s">
        <v>329</v>
      </c>
      <c r="G3" t="s">
        <v>479</v>
      </c>
      <c r="H3" s="8">
        <v>45805</v>
      </c>
      <c r="I3" s="6">
        <f>VLOOKUP(G3,Definitions!$B:$C,2,0)</f>
        <v>0.05</v>
      </c>
      <c r="J3" s="8">
        <v>45840</v>
      </c>
      <c r="K3" s="10">
        <v>42700</v>
      </c>
      <c r="M3" t="s">
        <v>489</v>
      </c>
      <c r="N3" t="s">
        <v>492</v>
      </c>
    </row>
    <row r="4" spans="1:15" x14ac:dyDescent="0.25">
      <c r="A4" t="s">
        <v>16</v>
      </c>
      <c r="B4" t="s">
        <v>166</v>
      </c>
      <c r="C4" t="s">
        <v>169</v>
      </c>
      <c r="D4" t="s">
        <v>319</v>
      </c>
      <c r="E4" t="s">
        <v>325</v>
      </c>
      <c r="F4" t="s">
        <v>330</v>
      </c>
      <c r="G4" t="s">
        <v>480</v>
      </c>
      <c r="H4" s="8">
        <v>45704</v>
      </c>
      <c r="I4" s="6">
        <f>VLOOKUP(G4,Definitions!$B:$C,2,0)</f>
        <v>1</v>
      </c>
      <c r="J4" s="8">
        <v>45763</v>
      </c>
      <c r="K4" s="10">
        <v>41900</v>
      </c>
      <c r="M4" t="s">
        <v>488</v>
      </c>
      <c r="N4" t="s">
        <v>493</v>
      </c>
    </row>
    <row r="5" spans="1:15" x14ac:dyDescent="0.25">
      <c r="A5" t="s">
        <v>17</v>
      </c>
      <c r="B5" t="s">
        <v>166</v>
      </c>
      <c r="C5" t="s">
        <v>170</v>
      </c>
      <c r="D5" t="s">
        <v>320</v>
      </c>
      <c r="E5" t="s">
        <v>324</v>
      </c>
      <c r="F5" t="s">
        <v>331</v>
      </c>
      <c r="G5" t="s">
        <v>481</v>
      </c>
      <c r="H5" s="8">
        <v>45647</v>
      </c>
      <c r="I5" s="6">
        <f>VLOOKUP(G5,Definitions!$B:$C,2,0)</f>
        <v>0.1</v>
      </c>
      <c r="J5" s="8">
        <v>45668</v>
      </c>
      <c r="K5" s="10">
        <v>15700</v>
      </c>
      <c r="M5" t="s">
        <v>490</v>
      </c>
      <c r="N5" t="s">
        <v>492</v>
      </c>
    </row>
    <row r="6" spans="1:15" x14ac:dyDescent="0.25">
      <c r="A6" t="s">
        <v>18</v>
      </c>
      <c r="B6" t="s">
        <v>164</v>
      </c>
      <c r="C6" t="s">
        <v>171</v>
      </c>
      <c r="D6" t="s">
        <v>320</v>
      </c>
      <c r="E6" t="s">
        <v>326</v>
      </c>
      <c r="F6" t="s">
        <v>332</v>
      </c>
      <c r="G6" t="s">
        <v>481</v>
      </c>
      <c r="H6" s="8">
        <v>45791</v>
      </c>
      <c r="I6" s="6">
        <f>VLOOKUP(G6,Definitions!$B:$C,2,0)</f>
        <v>0.1</v>
      </c>
      <c r="J6" s="8">
        <v>45844</v>
      </c>
      <c r="K6" s="10">
        <v>26400</v>
      </c>
      <c r="M6" t="s">
        <v>490</v>
      </c>
      <c r="N6" t="s">
        <v>494</v>
      </c>
    </row>
    <row r="7" spans="1:15" x14ac:dyDescent="0.25">
      <c r="A7" t="s">
        <v>19</v>
      </c>
      <c r="B7" t="s">
        <v>165</v>
      </c>
      <c r="C7" t="s">
        <v>172</v>
      </c>
      <c r="D7" t="s">
        <v>320</v>
      </c>
      <c r="E7" t="s">
        <v>323</v>
      </c>
      <c r="F7" t="s">
        <v>333</v>
      </c>
      <c r="G7" t="s">
        <v>482</v>
      </c>
      <c r="H7" s="8">
        <v>45671</v>
      </c>
      <c r="I7" s="6">
        <f>VLOOKUP(G7,Definitions!$B:$C,2,0)</f>
        <v>0.25</v>
      </c>
      <c r="J7" s="8">
        <v>45710</v>
      </c>
      <c r="K7" s="10">
        <v>35500</v>
      </c>
      <c r="M7" t="s">
        <v>491</v>
      </c>
      <c r="N7" t="s">
        <v>492</v>
      </c>
    </row>
    <row r="8" spans="1:15" x14ac:dyDescent="0.25">
      <c r="A8" t="s">
        <v>20</v>
      </c>
      <c r="B8" t="s">
        <v>164</v>
      </c>
      <c r="C8" t="s">
        <v>173</v>
      </c>
      <c r="D8" t="s">
        <v>318</v>
      </c>
      <c r="E8" t="s">
        <v>323</v>
      </c>
      <c r="F8" t="s">
        <v>334</v>
      </c>
      <c r="G8" t="s">
        <v>480</v>
      </c>
      <c r="H8" s="8">
        <v>45641</v>
      </c>
      <c r="I8" s="6">
        <f>VLOOKUP(G8,Definitions!$B:$C,2,0)</f>
        <v>1</v>
      </c>
      <c r="J8" s="8">
        <v>45695</v>
      </c>
      <c r="K8" s="10">
        <v>18000</v>
      </c>
      <c r="M8" t="s">
        <v>491</v>
      </c>
      <c r="N8" t="s">
        <v>493</v>
      </c>
    </row>
    <row r="9" spans="1:15" x14ac:dyDescent="0.25">
      <c r="A9" t="s">
        <v>21</v>
      </c>
      <c r="B9" t="s">
        <v>164</v>
      </c>
      <c r="C9" t="s">
        <v>174</v>
      </c>
      <c r="D9" t="s">
        <v>320</v>
      </c>
      <c r="E9" t="s">
        <v>327</v>
      </c>
      <c r="F9" t="s">
        <v>335</v>
      </c>
      <c r="G9" t="s">
        <v>480</v>
      </c>
      <c r="H9" s="8">
        <v>45660</v>
      </c>
      <c r="I9" s="6">
        <f>VLOOKUP(G9,Definitions!$B:$C,2,0)</f>
        <v>1</v>
      </c>
      <c r="J9" s="8">
        <v>45697</v>
      </c>
      <c r="K9" s="10">
        <v>27900</v>
      </c>
      <c r="M9" t="s">
        <v>488</v>
      </c>
      <c r="N9" t="s">
        <v>494</v>
      </c>
    </row>
    <row r="10" spans="1:15" x14ac:dyDescent="0.25">
      <c r="A10" t="s">
        <v>22</v>
      </c>
      <c r="B10" t="s">
        <v>166</v>
      </c>
      <c r="C10" t="s">
        <v>175</v>
      </c>
      <c r="D10" t="s">
        <v>317</v>
      </c>
      <c r="E10" t="s">
        <v>324</v>
      </c>
      <c r="F10" t="s">
        <v>336</v>
      </c>
      <c r="G10" t="s">
        <v>478</v>
      </c>
      <c r="H10" s="8">
        <v>45620</v>
      </c>
      <c r="I10" s="6">
        <f>VLOOKUP(G10,Definitions!$B:$C,2,0)</f>
        <v>0</v>
      </c>
      <c r="J10" s="8">
        <v>45653</v>
      </c>
      <c r="K10" s="10">
        <v>28900</v>
      </c>
      <c r="L10" t="s">
        <v>485</v>
      </c>
      <c r="M10" t="s">
        <v>490</v>
      </c>
      <c r="N10" t="s">
        <v>492</v>
      </c>
    </row>
    <row r="11" spans="1:15" x14ac:dyDescent="0.25">
      <c r="A11" t="s">
        <v>23</v>
      </c>
      <c r="B11" t="s">
        <v>166</v>
      </c>
      <c r="C11" t="s">
        <v>176</v>
      </c>
      <c r="D11" t="s">
        <v>321</v>
      </c>
      <c r="E11" t="s">
        <v>326</v>
      </c>
      <c r="F11" t="s">
        <v>337</v>
      </c>
      <c r="G11" t="s">
        <v>479</v>
      </c>
      <c r="H11" s="8">
        <v>45706</v>
      </c>
      <c r="I11" s="6">
        <f>VLOOKUP(G11,Definitions!$B:$C,2,0)</f>
        <v>0.05</v>
      </c>
      <c r="J11" s="8">
        <v>45730</v>
      </c>
      <c r="K11" s="10">
        <v>41700</v>
      </c>
      <c r="M11" t="s">
        <v>488</v>
      </c>
      <c r="N11" t="s">
        <v>493</v>
      </c>
    </row>
    <row r="12" spans="1:15" x14ac:dyDescent="0.25">
      <c r="A12" t="s">
        <v>24</v>
      </c>
      <c r="B12" t="s">
        <v>166</v>
      </c>
      <c r="C12" t="s">
        <v>177</v>
      </c>
      <c r="D12" t="s">
        <v>317</v>
      </c>
      <c r="E12" t="s">
        <v>326</v>
      </c>
      <c r="F12" t="s">
        <v>338</v>
      </c>
      <c r="G12" t="s">
        <v>481</v>
      </c>
      <c r="H12" s="8">
        <v>45749</v>
      </c>
      <c r="I12" s="6">
        <f>VLOOKUP(G12,Definitions!$B:$C,2,0)</f>
        <v>0.1</v>
      </c>
      <c r="J12" s="8">
        <v>45775</v>
      </c>
      <c r="K12" s="10">
        <v>14500</v>
      </c>
      <c r="M12" t="s">
        <v>491</v>
      </c>
      <c r="N12" t="s">
        <v>492</v>
      </c>
    </row>
    <row r="13" spans="1:15" x14ac:dyDescent="0.25">
      <c r="A13" t="s">
        <v>25</v>
      </c>
      <c r="B13" t="s">
        <v>166</v>
      </c>
      <c r="C13" t="s">
        <v>178</v>
      </c>
      <c r="D13" t="s">
        <v>319</v>
      </c>
      <c r="E13" t="s">
        <v>324</v>
      </c>
      <c r="F13" t="s">
        <v>339</v>
      </c>
      <c r="G13" t="s">
        <v>482</v>
      </c>
      <c r="H13" s="8">
        <v>45815</v>
      </c>
      <c r="I13" s="6">
        <f>VLOOKUP(G13,Definitions!$B:$C,2,0)</f>
        <v>0.25</v>
      </c>
      <c r="J13" s="8">
        <v>45874</v>
      </c>
      <c r="K13" s="10">
        <v>41000</v>
      </c>
      <c r="M13" t="s">
        <v>490</v>
      </c>
      <c r="N13" t="s">
        <v>494</v>
      </c>
    </row>
    <row r="14" spans="1:15" x14ac:dyDescent="0.25">
      <c r="A14" t="s">
        <v>26</v>
      </c>
      <c r="B14" t="s">
        <v>164</v>
      </c>
      <c r="C14" t="s">
        <v>179</v>
      </c>
      <c r="D14" t="s">
        <v>317</v>
      </c>
      <c r="E14" t="s">
        <v>326</v>
      </c>
      <c r="F14" t="s">
        <v>340</v>
      </c>
      <c r="G14" t="s">
        <v>478</v>
      </c>
      <c r="H14" s="8">
        <v>45657</v>
      </c>
      <c r="I14" s="6">
        <f>VLOOKUP(G14,Definitions!$B:$C,2,0)</f>
        <v>0</v>
      </c>
      <c r="J14" s="8">
        <v>45695</v>
      </c>
      <c r="K14" s="10">
        <v>43400</v>
      </c>
      <c r="L14" t="s">
        <v>486</v>
      </c>
      <c r="M14" t="s">
        <v>490</v>
      </c>
      <c r="N14" t="s">
        <v>494</v>
      </c>
    </row>
    <row r="15" spans="1:15" x14ac:dyDescent="0.25">
      <c r="A15" t="s">
        <v>27</v>
      </c>
      <c r="B15" t="s">
        <v>166</v>
      </c>
      <c r="C15" t="s">
        <v>180</v>
      </c>
      <c r="D15" t="s">
        <v>318</v>
      </c>
      <c r="E15" t="s">
        <v>323</v>
      </c>
      <c r="F15" t="s">
        <v>341</v>
      </c>
      <c r="G15" t="s">
        <v>481</v>
      </c>
      <c r="H15" s="8">
        <v>45646</v>
      </c>
      <c r="I15" s="6">
        <f>VLOOKUP(G15,Definitions!$B:$C,2,0)</f>
        <v>0.1</v>
      </c>
      <c r="J15" s="8">
        <v>45693</v>
      </c>
      <c r="K15" s="10">
        <v>24700</v>
      </c>
      <c r="M15" t="s">
        <v>490</v>
      </c>
      <c r="N15" t="s">
        <v>492</v>
      </c>
    </row>
    <row r="16" spans="1:15" x14ac:dyDescent="0.25">
      <c r="A16" t="s">
        <v>28</v>
      </c>
      <c r="B16" t="s">
        <v>165</v>
      </c>
      <c r="C16" t="s">
        <v>181</v>
      </c>
      <c r="D16" t="s">
        <v>322</v>
      </c>
      <c r="E16" t="s">
        <v>326</v>
      </c>
      <c r="F16" t="s">
        <v>342</v>
      </c>
      <c r="G16" t="s">
        <v>479</v>
      </c>
      <c r="H16" s="8">
        <v>45777</v>
      </c>
      <c r="I16" s="6">
        <f>VLOOKUP(G16,Definitions!$B:$C,2,0)</f>
        <v>0.05</v>
      </c>
      <c r="J16" s="8">
        <v>45799</v>
      </c>
      <c r="K16" s="10">
        <v>29700</v>
      </c>
      <c r="M16" t="s">
        <v>490</v>
      </c>
      <c r="N16" t="s">
        <v>492</v>
      </c>
    </row>
    <row r="17" spans="1:14" x14ac:dyDescent="0.25">
      <c r="A17" t="s">
        <v>29</v>
      </c>
      <c r="B17" t="s">
        <v>166</v>
      </c>
      <c r="C17" t="s">
        <v>182</v>
      </c>
      <c r="D17" t="s">
        <v>321</v>
      </c>
      <c r="E17" t="s">
        <v>327</v>
      </c>
      <c r="F17" t="s">
        <v>343</v>
      </c>
      <c r="G17" t="s">
        <v>482</v>
      </c>
      <c r="H17" s="8">
        <v>45664</v>
      </c>
      <c r="I17" s="6">
        <f>VLOOKUP(G17,Definitions!$B:$C,2,0)</f>
        <v>0.25</v>
      </c>
      <c r="J17" s="8">
        <v>45679</v>
      </c>
      <c r="K17" s="10">
        <v>49900</v>
      </c>
      <c r="M17" t="s">
        <v>489</v>
      </c>
      <c r="N17" t="s">
        <v>492</v>
      </c>
    </row>
    <row r="18" spans="1:14" x14ac:dyDescent="0.25">
      <c r="A18" t="s">
        <v>30</v>
      </c>
      <c r="B18" t="s">
        <v>166</v>
      </c>
      <c r="C18" t="s">
        <v>183</v>
      </c>
      <c r="D18" t="s">
        <v>318</v>
      </c>
      <c r="E18" t="s">
        <v>323</v>
      </c>
      <c r="F18" t="s">
        <v>344</v>
      </c>
      <c r="G18" t="s">
        <v>480</v>
      </c>
      <c r="H18" s="8">
        <v>45814</v>
      </c>
      <c r="I18" s="6">
        <f>VLOOKUP(G18,Definitions!$B:$C,2,0)</f>
        <v>1</v>
      </c>
      <c r="J18" s="8">
        <v>45866</v>
      </c>
      <c r="K18" s="10">
        <v>36500</v>
      </c>
      <c r="M18" t="s">
        <v>490</v>
      </c>
      <c r="N18" t="s">
        <v>494</v>
      </c>
    </row>
    <row r="19" spans="1:14" x14ac:dyDescent="0.25">
      <c r="A19" t="s">
        <v>31</v>
      </c>
      <c r="B19" t="s">
        <v>165</v>
      </c>
      <c r="C19" t="s">
        <v>184</v>
      </c>
      <c r="D19" t="s">
        <v>321</v>
      </c>
      <c r="E19" t="s">
        <v>327</v>
      </c>
      <c r="F19" t="s">
        <v>345</v>
      </c>
      <c r="G19" t="s">
        <v>479</v>
      </c>
      <c r="H19" s="8">
        <v>45777</v>
      </c>
      <c r="I19" s="6">
        <f>VLOOKUP(G19,Definitions!$B:$C,2,0)</f>
        <v>0.05</v>
      </c>
      <c r="J19" s="8">
        <v>45813</v>
      </c>
      <c r="K19" s="10">
        <v>35100</v>
      </c>
      <c r="M19" t="s">
        <v>491</v>
      </c>
      <c r="N19" t="s">
        <v>492</v>
      </c>
    </row>
    <row r="20" spans="1:14" x14ac:dyDescent="0.25">
      <c r="A20" t="s">
        <v>32</v>
      </c>
      <c r="B20" t="s">
        <v>166</v>
      </c>
      <c r="C20" t="s">
        <v>185</v>
      </c>
      <c r="D20" t="s">
        <v>322</v>
      </c>
      <c r="E20" t="s">
        <v>324</v>
      </c>
      <c r="F20" t="s">
        <v>346</v>
      </c>
      <c r="G20" t="s">
        <v>481</v>
      </c>
      <c r="H20" s="8">
        <v>45636</v>
      </c>
      <c r="I20" s="6">
        <f>VLOOKUP(G20,Definitions!$B:$C,2,0)</f>
        <v>0.1</v>
      </c>
      <c r="J20" s="8">
        <v>45682</v>
      </c>
      <c r="K20" s="10">
        <v>34900</v>
      </c>
      <c r="M20" t="s">
        <v>490</v>
      </c>
      <c r="N20" t="s">
        <v>492</v>
      </c>
    </row>
    <row r="21" spans="1:14" x14ac:dyDescent="0.25">
      <c r="A21" t="s">
        <v>33</v>
      </c>
      <c r="B21" t="s">
        <v>166</v>
      </c>
      <c r="C21" t="s">
        <v>186</v>
      </c>
      <c r="D21" t="s">
        <v>317</v>
      </c>
      <c r="E21" t="s">
        <v>324</v>
      </c>
      <c r="F21" t="s">
        <v>347</v>
      </c>
      <c r="G21" t="s">
        <v>483</v>
      </c>
      <c r="H21" s="8">
        <v>45802</v>
      </c>
      <c r="I21" s="6">
        <f>VLOOKUP(G21,Definitions!$B:$C,2,0)</f>
        <v>0.5</v>
      </c>
      <c r="J21" s="8">
        <v>45857</v>
      </c>
      <c r="K21" s="10">
        <v>36800</v>
      </c>
      <c r="M21" t="s">
        <v>491</v>
      </c>
      <c r="N21" t="s">
        <v>493</v>
      </c>
    </row>
    <row r="22" spans="1:14" x14ac:dyDescent="0.25">
      <c r="A22" t="s">
        <v>34</v>
      </c>
      <c r="B22" t="s">
        <v>166</v>
      </c>
      <c r="C22" t="s">
        <v>187</v>
      </c>
      <c r="D22" t="s">
        <v>317</v>
      </c>
      <c r="E22" t="s">
        <v>325</v>
      </c>
      <c r="F22" t="s">
        <v>348</v>
      </c>
      <c r="G22" t="s">
        <v>481</v>
      </c>
      <c r="H22" s="8">
        <v>45756</v>
      </c>
      <c r="I22" s="6">
        <f>VLOOKUP(G22,Definitions!$B:$C,2,0)</f>
        <v>0.1</v>
      </c>
      <c r="J22" s="8">
        <v>45784</v>
      </c>
      <c r="K22" s="10">
        <v>49700</v>
      </c>
      <c r="M22" t="s">
        <v>488</v>
      </c>
      <c r="N22" t="s">
        <v>493</v>
      </c>
    </row>
    <row r="23" spans="1:14" x14ac:dyDescent="0.25">
      <c r="A23" t="s">
        <v>35</v>
      </c>
      <c r="B23" t="s">
        <v>166</v>
      </c>
      <c r="C23" t="s">
        <v>188</v>
      </c>
      <c r="D23" t="s">
        <v>321</v>
      </c>
      <c r="E23" t="s">
        <v>324</v>
      </c>
      <c r="F23" t="s">
        <v>349</v>
      </c>
      <c r="G23" t="s">
        <v>481</v>
      </c>
      <c r="H23" s="8">
        <v>45815</v>
      </c>
      <c r="I23" s="6">
        <f>VLOOKUP(G23,Definitions!$B:$C,2,0)</f>
        <v>0.1</v>
      </c>
      <c r="J23" s="8">
        <v>45853</v>
      </c>
      <c r="K23" s="10">
        <v>18200</v>
      </c>
      <c r="M23" t="s">
        <v>488</v>
      </c>
      <c r="N23" t="s">
        <v>494</v>
      </c>
    </row>
    <row r="24" spans="1:14" x14ac:dyDescent="0.25">
      <c r="A24" t="s">
        <v>36</v>
      </c>
      <c r="B24" t="s">
        <v>164</v>
      </c>
      <c r="C24" t="s">
        <v>189</v>
      </c>
      <c r="D24" t="s">
        <v>317</v>
      </c>
      <c r="E24" t="s">
        <v>326</v>
      </c>
      <c r="F24" t="s">
        <v>350</v>
      </c>
      <c r="G24" t="s">
        <v>478</v>
      </c>
      <c r="H24" s="8">
        <v>45661</v>
      </c>
      <c r="I24" s="6">
        <f>VLOOKUP(G24,Definitions!$B:$C,2,0)</f>
        <v>0</v>
      </c>
      <c r="J24" s="8">
        <v>45683</v>
      </c>
      <c r="K24" s="10">
        <v>27000</v>
      </c>
      <c r="L24" t="s">
        <v>486</v>
      </c>
      <c r="M24" t="s">
        <v>490</v>
      </c>
      <c r="N24" t="s">
        <v>493</v>
      </c>
    </row>
    <row r="25" spans="1:14" x14ac:dyDescent="0.25">
      <c r="A25" t="s">
        <v>37</v>
      </c>
      <c r="B25" t="s">
        <v>164</v>
      </c>
      <c r="C25" t="s">
        <v>190</v>
      </c>
      <c r="D25" t="s">
        <v>322</v>
      </c>
      <c r="E25" t="s">
        <v>326</v>
      </c>
      <c r="F25" t="s">
        <v>351</v>
      </c>
      <c r="G25" t="s">
        <v>482</v>
      </c>
      <c r="H25" s="8">
        <v>45731</v>
      </c>
      <c r="I25" s="6">
        <f>VLOOKUP(G25,Definitions!$B:$C,2,0)</f>
        <v>0.25</v>
      </c>
      <c r="J25" s="8">
        <v>45761</v>
      </c>
      <c r="K25" s="10">
        <v>47400</v>
      </c>
      <c r="M25" t="s">
        <v>488</v>
      </c>
      <c r="N25" t="s">
        <v>494</v>
      </c>
    </row>
    <row r="26" spans="1:14" x14ac:dyDescent="0.25">
      <c r="A26" t="s">
        <v>38</v>
      </c>
      <c r="B26" t="s">
        <v>166</v>
      </c>
      <c r="C26" t="s">
        <v>191</v>
      </c>
      <c r="D26" t="s">
        <v>317</v>
      </c>
      <c r="E26" t="s">
        <v>326</v>
      </c>
      <c r="F26" t="s">
        <v>352</v>
      </c>
      <c r="G26" t="s">
        <v>479</v>
      </c>
      <c r="H26" s="8">
        <v>45772</v>
      </c>
      <c r="I26" s="6">
        <f>VLOOKUP(G26,Definitions!$B:$C,2,0)</f>
        <v>0.05</v>
      </c>
      <c r="J26" s="8">
        <v>45820</v>
      </c>
      <c r="K26" s="10">
        <v>21900</v>
      </c>
      <c r="M26" t="s">
        <v>489</v>
      </c>
      <c r="N26" t="s">
        <v>492</v>
      </c>
    </row>
    <row r="27" spans="1:14" x14ac:dyDescent="0.25">
      <c r="A27" t="s">
        <v>39</v>
      </c>
      <c r="B27" t="s">
        <v>166</v>
      </c>
      <c r="C27" t="s">
        <v>192</v>
      </c>
      <c r="D27" t="s">
        <v>319</v>
      </c>
      <c r="E27" t="s">
        <v>325</v>
      </c>
      <c r="F27" t="s">
        <v>353</v>
      </c>
      <c r="G27" t="s">
        <v>483</v>
      </c>
      <c r="H27" s="8">
        <v>45808</v>
      </c>
      <c r="I27" s="6">
        <f>VLOOKUP(G27,Definitions!$B:$C,2,0)</f>
        <v>0.5</v>
      </c>
      <c r="J27" s="8">
        <v>45844</v>
      </c>
      <c r="K27" s="10">
        <v>20600</v>
      </c>
      <c r="M27" t="s">
        <v>488</v>
      </c>
      <c r="N27" t="s">
        <v>492</v>
      </c>
    </row>
    <row r="28" spans="1:14" x14ac:dyDescent="0.25">
      <c r="A28" t="s">
        <v>40</v>
      </c>
      <c r="B28" t="s">
        <v>166</v>
      </c>
      <c r="C28" t="s">
        <v>193</v>
      </c>
      <c r="D28" t="s">
        <v>319</v>
      </c>
      <c r="E28" t="s">
        <v>323</v>
      </c>
      <c r="F28" t="s">
        <v>354</v>
      </c>
      <c r="G28" t="s">
        <v>480</v>
      </c>
      <c r="H28" s="8">
        <v>45672</v>
      </c>
      <c r="I28" s="6">
        <f>VLOOKUP(G28,Definitions!$B:$C,2,0)</f>
        <v>1</v>
      </c>
      <c r="J28" s="8">
        <v>45707</v>
      </c>
      <c r="K28" s="10">
        <v>18700</v>
      </c>
      <c r="M28" t="s">
        <v>490</v>
      </c>
      <c r="N28" t="s">
        <v>492</v>
      </c>
    </row>
    <row r="29" spans="1:14" x14ac:dyDescent="0.25">
      <c r="A29" t="s">
        <v>41</v>
      </c>
      <c r="B29" t="s">
        <v>164</v>
      </c>
      <c r="C29" t="s">
        <v>194</v>
      </c>
      <c r="D29" t="s">
        <v>321</v>
      </c>
      <c r="E29" t="s">
        <v>327</v>
      </c>
      <c r="F29" t="s">
        <v>355</v>
      </c>
      <c r="G29" t="s">
        <v>481</v>
      </c>
      <c r="H29" s="8">
        <v>45776</v>
      </c>
      <c r="I29" s="6">
        <f>VLOOKUP(G29,Definitions!$B:$C,2,0)</f>
        <v>0.1</v>
      </c>
      <c r="J29" s="8">
        <v>45803</v>
      </c>
      <c r="K29" s="10">
        <v>5600</v>
      </c>
      <c r="M29" t="s">
        <v>491</v>
      </c>
      <c r="N29" t="s">
        <v>494</v>
      </c>
    </row>
    <row r="30" spans="1:14" x14ac:dyDescent="0.25">
      <c r="A30" t="s">
        <v>42</v>
      </c>
      <c r="B30" t="s">
        <v>165</v>
      </c>
      <c r="C30" t="s">
        <v>195</v>
      </c>
      <c r="D30" t="s">
        <v>317</v>
      </c>
      <c r="E30" t="s">
        <v>323</v>
      </c>
      <c r="F30" t="s">
        <v>356</v>
      </c>
      <c r="G30" t="s">
        <v>479</v>
      </c>
      <c r="H30" s="8">
        <v>45751</v>
      </c>
      <c r="I30" s="6">
        <f>VLOOKUP(G30,Definitions!$B:$C,2,0)</f>
        <v>0.05</v>
      </c>
      <c r="J30" s="8">
        <v>45793</v>
      </c>
      <c r="K30" s="10">
        <v>49900</v>
      </c>
      <c r="M30" t="s">
        <v>490</v>
      </c>
      <c r="N30" t="s">
        <v>494</v>
      </c>
    </row>
    <row r="31" spans="1:14" x14ac:dyDescent="0.25">
      <c r="A31" t="s">
        <v>43</v>
      </c>
      <c r="B31" t="s">
        <v>166</v>
      </c>
      <c r="C31" t="s">
        <v>196</v>
      </c>
      <c r="D31" t="s">
        <v>320</v>
      </c>
      <c r="E31" t="s">
        <v>327</v>
      </c>
      <c r="F31" t="s">
        <v>357</v>
      </c>
      <c r="G31" t="s">
        <v>479</v>
      </c>
      <c r="H31" s="8">
        <v>45735</v>
      </c>
      <c r="I31" s="6">
        <f>VLOOKUP(G31,Definitions!$B:$C,2,0)</f>
        <v>0.05</v>
      </c>
      <c r="J31" s="8">
        <v>45766</v>
      </c>
      <c r="K31" s="10">
        <v>20900</v>
      </c>
      <c r="M31" t="s">
        <v>490</v>
      </c>
      <c r="N31" t="s">
        <v>494</v>
      </c>
    </row>
    <row r="32" spans="1:14" x14ac:dyDescent="0.25">
      <c r="A32" t="s">
        <v>44</v>
      </c>
      <c r="B32" t="s">
        <v>165</v>
      </c>
      <c r="C32" t="s">
        <v>197</v>
      </c>
      <c r="D32" t="s">
        <v>319</v>
      </c>
      <c r="E32" t="s">
        <v>327</v>
      </c>
      <c r="F32" t="s">
        <v>358</v>
      </c>
      <c r="G32" t="s">
        <v>481</v>
      </c>
      <c r="H32" s="8">
        <v>45717</v>
      </c>
      <c r="I32" s="6">
        <f>VLOOKUP(G32,Definitions!$B:$C,2,0)</f>
        <v>0.1</v>
      </c>
      <c r="J32" s="8">
        <v>45772</v>
      </c>
      <c r="K32" s="10">
        <v>25400</v>
      </c>
      <c r="M32" t="s">
        <v>488</v>
      </c>
      <c r="N32" t="s">
        <v>494</v>
      </c>
    </row>
    <row r="33" spans="1:14" x14ac:dyDescent="0.25">
      <c r="A33" t="s">
        <v>45</v>
      </c>
      <c r="B33" t="s">
        <v>164</v>
      </c>
      <c r="C33" t="s">
        <v>198</v>
      </c>
      <c r="D33" t="s">
        <v>322</v>
      </c>
      <c r="E33" t="s">
        <v>327</v>
      </c>
      <c r="F33" t="s">
        <v>359</v>
      </c>
      <c r="G33" t="s">
        <v>483</v>
      </c>
      <c r="H33" s="8">
        <v>45821</v>
      </c>
      <c r="I33" s="6">
        <f>VLOOKUP(G33,Definitions!$B:$C,2,0)</f>
        <v>0.5</v>
      </c>
      <c r="J33" s="8">
        <v>45871</v>
      </c>
      <c r="K33" s="10">
        <v>9400</v>
      </c>
      <c r="M33" t="s">
        <v>490</v>
      </c>
      <c r="N33" t="s">
        <v>492</v>
      </c>
    </row>
    <row r="34" spans="1:14" x14ac:dyDescent="0.25">
      <c r="A34" t="s">
        <v>46</v>
      </c>
      <c r="B34" t="s">
        <v>164</v>
      </c>
      <c r="C34" t="s">
        <v>199</v>
      </c>
      <c r="D34" t="s">
        <v>321</v>
      </c>
      <c r="E34" t="s">
        <v>324</v>
      </c>
      <c r="F34" t="s">
        <v>360</v>
      </c>
      <c r="G34" t="s">
        <v>483</v>
      </c>
      <c r="H34" s="8">
        <v>45786</v>
      </c>
      <c r="I34" s="6">
        <f>VLOOKUP(G34,Definitions!$B:$C,2,0)</f>
        <v>0.5</v>
      </c>
      <c r="J34" s="8">
        <v>45830</v>
      </c>
      <c r="K34" s="10">
        <v>47000</v>
      </c>
      <c r="M34" t="s">
        <v>490</v>
      </c>
      <c r="N34" t="s">
        <v>494</v>
      </c>
    </row>
    <row r="35" spans="1:14" x14ac:dyDescent="0.25">
      <c r="A35" t="s">
        <v>47</v>
      </c>
      <c r="B35" t="s">
        <v>164</v>
      </c>
      <c r="C35" t="s">
        <v>200</v>
      </c>
      <c r="D35" t="s">
        <v>321</v>
      </c>
      <c r="E35" t="s">
        <v>327</v>
      </c>
      <c r="F35" t="s">
        <v>361</v>
      </c>
      <c r="G35" t="s">
        <v>483</v>
      </c>
      <c r="H35" s="8">
        <v>45641</v>
      </c>
      <c r="I35" s="6">
        <f>VLOOKUP(G35,Definitions!$B:$C,2,0)</f>
        <v>0.5</v>
      </c>
      <c r="J35" s="8">
        <v>45695</v>
      </c>
      <c r="K35" s="10">
        <v>42800</v>
      </c>
      <c r="M35" t="s">
        <v>489</v>
      </c>
      <c r="N35" t="s">
        <v>493</v>
      </c>
    </row>
    <row r="36" spans="1:14" x14ac:dyDescent="0.25">
      <c r="A36" t="s">
        <v>48</v>
      </c>
      <c r="B36" t="s">
        <v>165</v>
      </c>
      <c r="C36" t="s">
        <v>201</v>
      </c>
      <c r="D36" t="s">
        <v>317</v>
      </c>
      <c r="E36" t="s">
        <v>324</v>
      </c>
      <c r="F36" t="s">
        <v>362</v>
      </c>
      <c r="G36" t="s">
        <v>483</v>
      </c>
      <c r="H36" s="8">
        <v>45786</v>
      </c>
      <c r="I36" s="6">
        <f>VLOOKUP(G36,Definitions!$B:$C,2,0)</f>
        <v>0.5</v>
      </c>
      <c r="J36" s="8">
        <v>45820</v>
      </c>
      <c r="K36" s="10">
        <v>18300</v>
      </c>
      <c r="M36" t="s">
        <v>490</v>
      </c>
      <c r="N36" t="s">
        <v>492</v>
      </c>
    </row>
    <row r="37" spans="1:14" x14ac:dyDescent="0.25">
      <c r="A37" t="s">
        <v>49</v>
      </c>
      <c r="B37" t="s">
        <v>164</v>
      </c>
      <c r="C37" t="s">
        <v>202</v>
      </c>
      <c r="D37" t="s">
        <v>318</v>
      </c>
      <c r="E37" t="s">
        <v>325</v>
      </c>
      <c r="F37" t="s">
        <v>363</v>
      </c>
      <c r="G37" t="s">
        <v>482</v>
      </c>
      <c r="H37" s="8">
        <v>45644</v>
      </c>
      <c r="I37" s="6">
        <f>VLOOKUP(G37,Definitions!$B:$C,2,0)</f>
        <v>0.25</v>
      </c>
      <c r="J37" s="8">
        <v>45682</v>
      </c>
      <c r="K37" s="10">
        <v>40800</v>
      </c>
      <c r="M37" t="s">
        <v>490</v>
      </c>
      <c r="N37" t="s">
        <v>494</v>
      </c>
    </row>
    <row r="38" spans="1:14" x14ac:dyDescent="0.25">
      <c r="A38" t="s">
        <v>50</v>
      </c>
      <c r="B38" t="s">
        <v>165</v>
      </c>
      <c r="C38" t="s">
        <v>203</v>
      </c>
      <c r="D38" t="s">
        <v>319</v>
      </c>
      <c r="E38" t="s">
        <v>326</v>
      </c>
      <c r="F38" t="s">
        <v>364</v>
      </c>
      <c r="G38" t="s">
        <v>482</v>
      </c>
      <c r="H38" s="8">
        <v>45737</v>
      </c>
      <c r="I38" s="6">
        <f>VLOOKUP(G38,Definitions!$B:$C,2,0)</f>
        <v>0.25</v>
      </c>
      <c r="J38" s="8">
        <v>45771</v>
      </c>
      <c r="K38" s="10">
        <v>28900</v>
      </c>
      <c r="M38" t="s">
        <v>489</v>
      </c>
      <c r="N38" t="s">
        <v>493</v>
      </c>
    </row>
    <row r="39" spans="1:14" x14ac:dyDescent="0.25">
      <c r="A39" t="s">
        <v>51</v>
      </c>
      <c r="B39" t="s">
        <v>165</v>
      </c>
      <c r="C39" t="s">
        <v>204</v>
      </c>
      <c r="D39" t="s">
        <v>321</v>
      </c>
      <c r="E39" t="s">
        <v>324</v>
      </c>
      <c r="F39" t="s">
        <v>365</v>
      </c>
      <c r="G39" t="s">
        <v>478</v>
      </c>
      <c r="H39" s="8">
        <v>45734</v>
      </c>
      <c r="I39" s="6">
        <f>VLOOKUP(G39,Definitions!$B:$C,2,0)</f>
        <v>0</v>
      </c>
      <c r="J39" s="8">
        <v>45749</v>
      </c>
      <c r="K39" s="10">
        <v>6800</v>
      </c>
      <c r="L39" t="s">
        <v>485</v>
      </c>
      <c r="M39" t="s">
        <v>491</v>
      </c>
      <c r="N39" t="s">
        <v>493</v>
      </c>
    </row>
    <row r="40" spans="1:14" x14ac:dyDescent="0.25">
      <c r="A40" t="s">
        <v>52</v>
      </c>
      <c r="B40" t="s">
        <v>166</v>
      </c>
      <c r="C40" t="s">
        <v>205</v>
      </c>
      <c r="D40" t="s">
        <v>322</v>
      </c>
      <c r="E40" t="s">
        <v>326</v>
      </c>
      <c r="F40" t="s">
        <v>366</v>
      </c>
      <c r="G40" t="s">
        <v>479</v>
      </c>
      <c r="H40" s="8">
        <v>45700</v>
      </c>
      <c r="I40" s="6">
        <f>VLOOKUP(G40,Definitions!$B:$C,2,0)</f>
        <v>0.05</v>
      </c>
      <c r="J40" s="8">
        <v>45746</v>
      </c>
      <c r="K40" s="10">
        <v>12400</v>
      </c>
      <c r="M40" t="s">
        <v>489</v>
      </c>
      <c r="N40" t="s">
        <v>492</v>
      </c>
    </row>
    <row r="41" spans="1:14" x14ac:dyDescent="0.25">
      <c r="A41" t="s">
        <v>53</v>
      </c>
      <c r="B41" t="s">
        <v>164</v>
      </c>
      <c r="C41" t="s">
        <v>206</v>
      </c>
      <c r="D41" t="s">
        <v>318</v>
      </c>
      <c r="E41" t="s">
        <v>325</v>
      </c>
      <c r="F41" t="s">
        <v>367</v>
      </c>
      <c r="G41" t="s">
        <v>482</v>
      </c>
      <c r="H41" s="8">
        <v>45686</v>
      </c>
      <c r="I41" s="6">
        <f>VLOOKUP(G41,Definitions!$B:$C,2,0)</f>
        <v>0.25</v>
      </c>
      <c r="J41" s="8">
        <v>45713</v>
      </c>
      <c r="K41" s="10">
        <v>43200</v>
      </c>
      <c r="M41" t="s">
        <v>489</v>
      </c>
      <c r="N41" t="s">
        <v>494</v>
      </c>
    </row>
    <row r="42" spans="1:14" x14ac:dyDescent="0.25">
      <c r="A42" t="s">
        <v>54</v>
      </c>
      <c r="B42" t="s">
        <v>166</v>
      </c>
      <c r="C42" t="s">
        <v>207</v>
      </c>
      <c r="D42" t="s">
        <v>317</v>
      </c>
      <c r="E42" t="s">
        <v>324</v>
      </c>
      <c r="F42" t="s">
        <v>368</v>
      </c>
      <c r="G42" t="s">
        <v>482</v>
      </c>
      <c r="H42" s="8">
        <v>45723</v>
      </c>
      <c r="I42" s="6">
        <f>VLOOKUP(G42,Definitions!$B:$C,2,0)</f>
        <v>0.25</v>
      </c>
      <c r="J42" s="8">
        <v>45745</v>
      </c>
      <c r="K42" s="10">
        <v>36300</v>
      </c>
      <c r="M42" t="s">
        <v>491</v>
      </c>
      <c r="N42" t="s">
        <v>493</v>
      </c>
    </row>
    <row r="43" spans="1:14" x14ac:dyDescent="0.25">
      <c r="A43" t="s">
        <v>55</v>
      </c>
      <c r="B43" t="s">
        <v>165</v>
      </c>
      <c r="C43" t="s">
        <v>208</v>
      </c>
      <c r="D43" t="s">
        <v>321</v>
      </c>
      <c r="E43" t="s">
        <v>324</v>
      </c>
      <c r="F43" t="s">
        <v>369</v>
      </c>
      <c r="G43" t="s">
        <v>482</v>
      </c>
      <c r="H43" s="8">
        <v>45633</v>
      </c>
      <c r="I43" s="6">
        <f>VLOOKUP(G43,Definitions!$B:$C,2,0)</f>
        <v>0.25</v>
      </c>
      <c r="J43" s="8">
        <v>45690</v>
      </c>
      <c r="K43" s="10">
        <v>48500</v>
      </c>
      <c r="M43" t="s">
        <v>491</v>
      </c>
      <c r="N43" t="s">
        <v>492</v>
      </c>
    </row>
    <row r="44" spans="1:14" x14ac:dyDescent="0.25">
      <c r="A44" t="s">
        <v>56</v>
      </c>
      <c r="B44" t="s">
        <v>164</v>
      </c>
      <c r="C44" t="s">
        <v>209</v>
      </c>
      <c r="D44" t="s">
        <v>317</v>
      </c>
      <c r="E44" t="s">
        <v>325</v>
      </c>
      <c r="F44" t="s">
        <v>370</v>
      </c>
      <c r="G44" t="s">
        <v>482</v>
      </c>
      <c r="H44" s="8">
        <v>45714</v>
      </c>
      <c r="I44" s="6">
        <f>VLOOKUP(G44,Definitions!$B:$C,2,0)</f>
        <v>0.25</v>
      </c>
      <c r="J44" s="8">
        <v>45772</v>
      </c>
      <c r="K44" s="10">
        <v>20300</v>
      </c>
      <c r="M44" t="s">
        <v>491</v>
      </c>
      <c r="N44" t="s">
        <v>493</v>
      </c>
    </row>
    <row r="45" spans="1:14" x14ac:dyDescent="0.25">
      <c r="A45" t="s">
        <v>57</v>
      </c>
      <c r="B45" t="s">
        <v>165</v>
      </c>
      <c r="C45" t="s">
        <v>210</v>
      </c>
      <c r="D45" t="s">
        <v>321</v>
      </c>
      <c r="E45" t="s">
        <v>324</v>
      </c>
      <c r="F45" t="s">
        <v>371</v>
      </c>
      <c r="G45" t="s">
        <v>479</v>
      </c>
      <c r="H45" s="8">
        <v>45632</v>
      </c>
      <c r="I45" s="6">
        <f>VLOOKUP(G45,Definitions!$B:$C,2,0)</f>
        <v>0.05</v>
      </c>
      <c r="J45" s="8">
        <v>45653</v>
      </c>
      <c r="K45" s="10">
        <v>18500</v>
      </c>
      <c r="M45" t="s">
        <v>491</v>
      </c>
      <c r="N45" t="s">
        <v>494</v>
      </c>
    </row>
    <row r="46" spans="1:14" x14ac:dyDescent="0.25">
      <c r="A46" t="s">
        <v>58</v>
      </c>
      <c r="B46" t="s">
        <v>165</v>
      </c>
      <c r="C46" t="s">
        <v>211</v>
      </c>
      <c r="D46" t="s">
        <v>318</v>
      </c>
      <c r="E46" t="s">
        <v>325</v>
      </c>
      <c r="F46" t="s">
        <v>372</v>
      </c>
      <c r="G46" t="s">
        <v>483</v>
      </c>
      <c r="H46" s="8">
        <v>45745</v>
      </c>
      <c r="I46" s="6">
        <f>VLOOKUP(G46,Definitions!$B:$C,2,0)</f>
        <v>0.5</v>
      </c>
      <c r="J46" s="8">
        <v>45781</v>
      </c>
      <c r="K46" s="10">
        <v>17100</v>
      </c>
      <c r="M46" t="s">
        <v>489</v>
      </c>
      <c r="N46" t="s">
        <v>493</v>
      </c>
    </row>
    <row r="47" spans="1:14" x14ac:dyDescent="0.25">
      <c r="A47" t="s">
        <v>59</v>
      </c>
      <c r="B47" t="s">
        <v>166</v>
      </c>
      <c r="C47" t="s">
        <v>212</v>
      </c>
      <c r="D47" t="s">
        <v>319</v>
      </c>
      <c r="E47" t="s">
        <v>325</v>
      </c>
      <c r="F47" t="s">
        <v>373</v>
      </c>
      <c r="G47" t="s">
        <v>478</v>
      </c>
      <c r="H47" s="8">
        <v>45664</v>
      </c>
      <c r="I47" s="6">
        <f>VLOOKUP(G47,Definitions!$B:$C,2,0)</f>
        <v>0</v>
      </c>
      <c r="J47" s="8">
        <v>45716</v>
      </c>
      <c r="K47" s="10">
        <v>45900</v>
      </c>
      <c r="L47" t="s">
        <v>487</v>
      </c>
      <c r="M47" t="s">
        <v>489</v>
      </c>
      <c r="N47" t="s">
        <v>494</v>
      </c>
    </row>
    <row r="48" spans="1:14" x14ac:dyDescent="0.25">
      <c r="A48" t="s">
        <v>60</v>
      </c>
      <c r="B48" t="s">
        <v>166</v>
      </c>
      <c r="C48" t="s">
        <v>213</v>
      </c>
      <c r="D48" t="s">
        <v>322</v>
      </c>
      <c r="E48" t="s">
        <v>326</v>
      </c>
      <c r="F48" t="s">
        <v>374</v>
      </c>
      <c r="G48" t="s">
        <v>480</v>
      </c>
      <c r="H48" s="8">
        <v>45756</v>
      </c>
      <c r="I48" s="6">
        <f>VLOOKUP(G48,Definitions!$B:$C,2,0)</f>
        <v>1</v>
      </c>
      <c r="J48" s="8">
        <v>45803</v>
      </c>
      <c r="K48" s="10">
        <v>48000</v>
      </c>
      <c r="M48" t="s">
        <v>489</v>
      </c>
      <c r="N48" t="s">
        <v>493</v>
      </c>
    </row>
    <row r="49" spans="1:14" x14ac:dyDescent="0.25">
      <c r="A49" t="s">
        <v>61</v>
      </c>
      <c r="B49" t="s">
        <v>164</v>
      </c>
      <c r="C49" t="s">
        <v>214</v>
      </c>
      <c r="D49" t="s">
        <v>317</v>
      </c>
      <c r="E49" t="s">
        <v>327</v>
      </c>
      <c r="F49" t="s">
        <v>375</v>
      </c>
      <c r="G49" t="s">
        <v>482</v>
      </c>
      <c r="H49" s="8">
        <v>45801</v>
      </c>
      <c r="I49" s="6">
        <f>VLOOKUP(G49,Definitions!$B:$C,2,0)</f>
        <v>0.25</v>
      </c>
      <c r="J49" s="8">
        <v>45851</v>
      </c>
      <c r="K49" s="10">
        <v>11100</v>
      </c>
      <c r="M49" t="s">
        <v>491</v>
      </c>
      <c r="N49" t="s">
        <v>494</v>
      </c>
    </row>
    <row r="50" spans="1:14" x14ac:dyDescent="0.25">
      <c r="A50" t="s">
        <v>62</v>
      </c>
      <c r="B50" t="s">
        <v>165</v>
      </c>
      <c r="C50" t="s">
        <v>215</v>
      </c>
      <c r="D50" t="s">
        <v>319</v>
      </c>
      <c r="E50" t="s">
        <v>324</v>
      </c>
      <c r="F50" t="s">
        <v>376</v>
      </c>
      <c r="G50" t="s">
        <v>479</v>
      </c>
      <c r="H50" s="8">
        <v>45677</v>
      </c>
      <c r="I50" s="6">
        <f>VLOOKUP(G50,Definitions!$B:$C,2,0)</f>
        <v>0.05</v>
      </c>
      <c r="J50" s="8">
        <v>45706</v>
      </c>
      <c r="K50" s="10">
        <v>5700</v>
      </c>
      <c r="M50" t="s">
        <v>489</v>
      </c>
      <c r="N50" t="s">
        <v>492</v>
      </c>
    </row>
    <row r="51" spans="1:14" x14ac:dyDescent="0.25">
      <c r="A51" t="s">
        <v>63</v>
      </c>
      <c r="B51" t="s">
        <v>166</v>
      </c>
      <c r="C51" t="s">
        <v>216</v>
      </c>
      <c r="D51" t="s">
        <v>319</v>
      </c>
      <c r="E51" t="s">
        <v>323</v>
      </c>
      <c r="F51" t="s">
        <v>377</v>
      </c>
      <c r="G51" t="s">
        <v>483</v>
      </c>
      <c r="H51" s="8">
        <v>45648</v>
      </c>
      <c r="I51" s="6">
        <f>VLOOKUP(G51,Definitions!$B:$C,2,0)</f>
        <v>0.5</v>
      </c>
      <c r="J51" s="8">
        <v>45694</v>
      </c>
      <c r="K51" s="10">
        <v>41300</v>
      </c>
      <c r="M51" t="s">
        <v>490</v>
      </c>
      <c r="N51" t="s">
        <v>492</v>
      </c>
    </row>
    <row r="52" spans="1:14" x14ac:dyDescent="0.25">
      <c r="A52" t="s">
        <v>64</v>
      </c>
      <c r="B52" t="s">
        <v>165</v>
      </c>
      <c r="C52" t="s">
        <v>217</v>
      </c>
      <c r="D52" t="s">
        <v>319</v>
      </c>
      <c r="E52" t="s">
        <v>326</v>
      </c>
      <c r="F52" t="s">
        <v>378</v>
      </c>
      <c r="G52" t="s">
        <v>483</v>
      </c>
      <c r="H52" s="8">
        <v>45776</v>
      </c>
      <c r="I52" s="6">
        <f>VLOOKUP(G52,Definitions!$B:$C,2,0)</f>
        <v>0.5</v>
      </c>
      <c r="J52" s="8">
        <v>45799</v>
      </c>
      <c r="K52" s="10">
        <v>28100</v>
      </c>
      <c r="M52" t="s">
        <v>490</v>
      </c>
      <c r="N52" t="s">
        <v>493</v>
      </c>
    </row>
    <row r="53" spans="1:14" x14ac:dyDescent="0.25">
      <c r="A53" t="s">
        <v>65</v>
      </c>
      <c r="B53" t="s">
        <v>164</v>
      </c>
      <c r="C53" t="s">
        <v>218</v>
      </c>
      <c r="D53" t="s">
        <v>320</v>
      </c>
      <c r="E53" t="s">
        <v>326</v>
      </c>
      <c r="F53" t="s">
        <v>379</v>
      </c>
      <c r="G53" t="s">
        <v>480</v>
      </c>
      <c r="H53" s="8">
        <v>45718</v>
      </c>
      <c r="I53" s="6">
        <f>VLOOKUP(G53,Definitions!$B:$C,2,0)</f>
        <v>1</v>
      </c>
      <c r="J53" s="8">
        <v>45740</v>
      </c>
      <c r="K53" s="10">
        <v>47200</v>
      </c>
      <c r="M53" t="s">
        <v>489</v>
      </c>
      <c r="N53" t="s">
        <v>493</v>
      </c>
    </row>
    <row r="54" spans="1:14" x14ac:dyDescent="0.25">
      <c r="A54" t="s">
        <v>66</v>
      </c>
      <c r="B54" t="s">
        <v>166</v>
      </c>
      <c r="C54" t="s">
        <v>219</v>
      </c>
      <c r="D54" t="s">
        <v>318</v>
      </c>
      <c r="E54" t="s">
        <v>325</v>
      </c>
      <c r="F54" t="s">
        <v>380</v>
      </c>
      <c r="G54" t="s">
        <v>483</v>
      </c>
      <c r="H54" s="8">
        <v>45658</v>
      </c>
      <c r="I54" s="6">
        <f>VLOOKUP(G54,Definitions!$B:$C,2,0)</f>
        <v>0.5</v>
      </c>
      <c r="J54" s="8">
        <v>45700</v>
      </c>
      <c r="K54" s="10">
        <v>24000</v>
      </c>
      <c r="M54" t="s">
        <v>489</v>
      </c>
      <c r="N54" t="s">
        <v>492</v>
      </c>
    </row>
    <row r="55" spans="1:14" x14ac:dyDescent="0.25">
      <c r="A55" t="s">
        <v>67</v>
      </c>
      <c r="B55" t="s">
        <v>165</v>
      </c>
      <c r="C55" t="s">
        <v>220</v>
      </c>
      <c r="D55" t="s">
        <v>317</v>
      </c>
      <c r="E55" t="s">
        <v>326</v>
      </c>
      <c r="F55" t="s">
        <v>381</v>
      </c>
      <c r="G55" t="s">
        <v>482</v>
      </c>
      <c r="H55" s="8">
        <v>45684</v>
      </c>
      <c r="I55" s="6">
        <f>VLOOKUP(G55,Definitions!$B:$C,2,0)</f>
        <v>0.25</v>
      </c>
      <c r="J55" s="8">
        <v>45705</v>
      </c>
      <c r="K55" s="10">
        <v>24900</v>
      </c>
      <c r="M55" t="s">
        <v>490</v>
      </c>
      <c r="N55" t="s">
        <v>494</v>
      </c>
    </row>
    <row r="56" spans="1:14" x14ac:dyDescent="0.25">
      <c r="A56" t="s">
        <v>68</v>
      </c>
      <c r="B56" t="s">
        <v>166</v>
      </c>
      <c r="C56" t="s">
        <v>221</v>
      </c>
      <c r="D56" t="s">
        <v>321</v>
      </c>
      <c r="E56" t="s">
        <v>325</v>
      </c>
      <c r="F56" t="s">
        <v>382</v>
      </c>
      <c r="G56" t="s">
        <v>483</v>
      </c>
      <c r="H56" s="8">
        <v>45726</v>
      </c>
      <c r="I56" s="6">
        <f>VLOOKUP(G56,Definitions!$B:$C,2,0)</f>
        <v>0.5</v>
      </c>
      <c r="J56" s="8">
        <v>45758</v>
      </c>
      <c r="K56" s="10">
        <v>39600</v>
      </c>
      <c r="M56" t="s">
        <v>489</v>
      </c>
      <c r="N56" t="s">
        <v>493</v>
      </c>
    </row>
    <row r="57" spans="1:14" x14ac:dyDescent="0.25">
      <c r="A57" t="s">
        <v>69</v>
      </c>
      <c r="B57" t="s">
        <v>166</v>
      </c>
      <c r="C57" t="s">
        <v>222</v>
      </c>
      <c r="D57" t="s">
        <v>319</v>
      </c>
      <c r="E57" t="s">
        <v>324</v>
      </c>
      <c r="F57" t="s">
        <v>383</v>
      </c>
      <c r="G57" t="s">
        <v>480</v>
      </c>
      <c r="H57" s="8">
        <v>45643</v>
      </c>
      <c r="I57" s="6">
        <f>VLOOKUP(G57,Definitions!$B:$C,2,0)</f>
        <v>1</v>
      </c>
      <c r="J57" s="8">
        <v>45689</v>
      </c>
      <c r="K57" s="10">
        <v>31300</v>
      </c>
      <c r="M57" t="s">
        <v>490</v>
      </c>
      <c r="N57" t="s">
        <v>493</v>
      </c>
    </row>
    <row r="58" spans="1:14" x14ac:dyDescent="0.25">
      <c r="A58" t="s">
        <v>70</v>
      </c>
      <c r="B58" t="s">
        <v>165</v>
      </c>
      <c r="C58" t="s">
        <v>223</v>
      </c>
      <c r="D58" t="s">
        <v>320</v>
      </c>
      <c r="E58" t="s">
        <v>325</v>
      </c>
      <c r="F58" t="s">
        <v>384</v>
      </c>
      <c r="G58" t="s">
        <v>483</v>
      </c>
      <c r="H58" s="8">
        <v>45658</v>
      </c>
      <c r="I58" s="6">
        <f>VLOOKUP(G58,Definitions!$B:$C,2,0)</f>
        <v>0.5</v>
      </c>
      <c r="J58" s="8">
        <v>45696</v>
      </c>
      <c r="K58" s="10">
        <v>13800</v>
      </c>
      <c r="M58" t="s">
        <v>488</v>
      </c>
      <c r="N58" t="s">
        <v>492</v>
      </c>
    </row>
    <row r="59" spans="1:14" x14ac:dyDescent="0.25">
      <c r="A59" t="s">
        <v>71</v>
      </c>
      <c r="B59" t="s">
        <v>166</v>
      </c>
      <c r="C59" t="s">
        <v>224</v>
      </c>
      <c r="D59" t="s">
        <v>321</v>
      </c>
      <c r="E59" t="s">
        <v>326</v>
      </c>
      <c r="F59" t="s">
        <v>385</v>
      </c>
      <c r="G59" t="s">
        <v>483</v>
      </c>
      <c r="H59" s="8">
        <v>45669</v>
      </c>
      <c r="I59" s="6">
        <f>VLOOKUP(G59,Definitions!$B:$C,2,0)</f>
        <v>0.5</v>
      </c>
      <c r="J59" s="8">
        <v>45693</v>
      </c>
      <c r="K59" s="10">
        <v>24800</v>
      </c>
      <c r="M59" t="s">
        <v>490</v>
      </c>
      <c r="N59" t="s">
        <v>493</v>
      </c>
    </row>
    <row r="60" spans="1:14" x14ac:dyDescent="0.25">
      <c r="A60" t="s">
        <v>72</v>
      </c>
      <c r="B60" t="s">
        <v>166</v>
      </c>
      <c r="C60" t="s">
        <v>225</v>
      </c>
      <c r="D60" t="s">
        <v>317</v>
      </c>
      <c r="E60" t="s">
        <v>326</v>
      </c>
      <c r="F60" t="s">
        <v>386</v>
      </c>
      <c r="G60" t="s">
        <v>478</v>
      </c>
      <c r="H60" s="8">
        <v>45649</v>
      </c>
      <c r="I60" s="6">
        <f>VLOOKUP(G60,Definitions!$B:$C,2,0)</f>
        <v>0</v>
      </c>
      <c r="J60" s="8">
        <v>45665</v>
      </c>
      <c r="K60" s="10">
        <v>17900</v>
      </c>
      <c r="L60" t="s">
        <v>484</v>
      </c>
      <c r="M60" t="s">
        <v>489</v>
      </c>
      <c r="N60" t="s">
        <v>493</v>
      </c>
    </row>
    <row r="61" spans="1:14" x14ac:dyDescent="0.25">
      <c r="A61" t="s">
        <v>73</v>
      </c>
      <c r="B61" t="s">
        <v>165</v>
      </c>
      <c r="C61" t="s">
        <v>226</v>
      </c>
      <c r="D61" t="s">
        <v>322</v>
      </c>
      <c r="E61" t="s">
        <v>324</v>
      </c>
      <c r="F61" t="s">
        <v>387</v>
      </c>
      <c r="G61" t="s">
        <v>482</v>
      </c>
      <c r="H61" s="8">
        <v>45683</v>
      </c>
      <c r="I61" s="6">
        <f>VLOOKUP(G61,Definitions!$B:$C,2,0)</f>
        <v>0.25</v>
      </c>
      <c r="J61" s="8">
        <v>45703</v>
      </c>
      <c r="K61" s="10">
        <v>48900</v>
      </c>
      <c r="M61" t="s">
        <v>490</v>
      </c>
      <c r="N61" t="s">
        <v>494</v>
      </c>
    </row>
    <row r="62" spans="1:14" x14ac:dyDescent="0.25">
      <c r="A62" t="s">
        <v>74</v>
      </c>
      <c r="B62" t="s">
        <v>165</v>
      </c>
      <c r="C62" t="s">
        <v>227</v>
      </c>
      <c r="D62" t="s">
        <v>320</v>
      </c>
      <c r="E62" t="s">
        <v>325</v>
      </c>
      <c r="F62" t="s">
        <v>388</v>
      </c>
      <c r="G62" t="s">
        <v>479</v>
      </c>
      <c r="H62" s="8">
        <v>45736</v>
      </c>
      <c r="I62" s="6">
        <f>VLOOKUP(G62,Definitions!$B:$C,2,0)</f>
        <v>0.05</v>
      </c>
      <c r="J62" s="8">
        <v>45782</v>
      </c>
      <c r="K62" s="10">
        <v>28500</v>
      </c>
      <c r="M62" t="s">
        <v>488</v>
      </c>
      <c r="N62" t="s">
        <v>492</v>
      </c>
    </row>
    <row r="63" spans="1:14" x14ac:dyDescent="0.25">
      <c r="A63" t="s">
        <v>75</v>
      </c>
      <c r="B63" t="s">
        <v>166</v>
      </c>
      <c r="C63" t="s">
        <v>228</v>
      </c>
      <c r="D63" t="s">
        <v>317</v>
      </c>
      <c r="E63" t="s">
        <v>326</v>
      </c>
      <c r="F63" t="s">
        <v>389</v>
      </c>
      <c r="G63" t="s">
        <v>478</v>
      </c>
      <c r="H63" s="8">
        <v>45809</v>
      </c>
      <c r="I63" s="6">
        <f>VLOOKUP(G63,Definitions!$B:$C,2,0)</f>
        <v>0</v>
      </c>
      <c r="J63" s="8">
        <v>45851</v>
      </c>
      <c r="K63" s="10">
        <v>23700</v>
      </c>
      <c r="L63" t="s">
        <v>485</v>
      </c>
      <c r="M63" t="s">
        <v>488</v>
      </c>
      <c r="N63" t="s">
        <v>493</v>
      </c>
    </row>
    <row r="64" spans="1:14" x14ac:dyDescent="0.25">
      <c r="A64" t="s">
        <v>76</v>
      </c>
      <c r="B64" t="s">
        <v>166</v>
      </c>
      <c r="C64" t="s">
        <v>229</v>
      </c>
      <c r="D64" t="s">
        <v>317</v>
      </c>
      <c r="E64" t="s">
        <v>326</v>
      </c>
      <c r="F64" t="s">
        <v>390</v>
      </c>
      <c r="G64" t="s">
        <v>480</v>
      </c>
      <c r="H64" s="8">
        <v>45752</v>
      </c>
      <c r="I64" s="6">
        <f>VLOOKUP(G64,Definitions!$B:$C,2,0)</f>
        <v>1</v>
      </c>
      <c r="J64" s="8">
        <v>45808</v>
      </c>
      <c r="K64" s="10">
        <v>7800</v>
      </c>
      <c r="M64" t="s">
        <v>490</v>
      </c>
      <c r="N64" t="s">
        <v>492</v>
      </c>
    </row>
    <row r="65" spans="1:14" x14ac:dyDescent="0.25">
      <c r="A65" t="s">
        <v>77</v>
      </c>
      <c r="B65" t="s">
        <v>166</v>
      </c>
      <c r="C65" t="s">
        <v>230</v>
      </c>
      <c r="D65" t="s">
        <v>320</v>
      </c>
      <c r="E65" t="s">
        <v>323</v>
      </c>
      <c r="F65" t="s">
        <v>391</v>
      </c>
      <c r="G65" t="s">
        <v>482</v>
      </c>
      <c r="H65" s="8">
        <v>45653</v>
      </c>
      <c r="I65" s="6">
        <f>VLOOKUP(G65,Definitions!$B:$C,2,0)</f>
        <v>0.25</v>
      </c>
      <c r="J65" s="8">
        <v>45680</v>
      </c>
      <c r="K65" s="10">
        <v>30200</v>
      </c>
      <c r="M65" t="s">
        <v>490</v>
      </c>
      <c r="N65" t="s">
        <v>493</v>
      </c>
    </row>
    <row r="66" spans="1:14" x14ac:dyDescent="0.25">
      <c r="A66" t="s">
        <v>78</v>
      </c>
      <c r="B66" t="s">
        <v>166</v>
      </c>
      <c r="C66" t="s">
        <v>231</v>
      </c>
      <c r="D66" t="s">
        <v>322</v>
      </c>
      <c r="E66" t="s">
        <v>326</v>
      </c>
      <c r="F66" t="s">
        <v>392</v>
      </c>
      <c r="G66" t="s">
        <v>483</v>
      </c>
      <c r="H66" s="8">
        <v>45801</v>
      </c>
      <c r="I66" s="6">
        <f>VLOOKUP(G66,Definitions!$B:$C,2,0)</f>
        <v>0.5</v>
      </c>
      <c r="J66" s="8">
        <v>45822</v>
      </c>
      <c r="K66" s="10">
        <v>19700</v>
      </c>
      <c r="M66" t="s">
        <v>491</v>
      </c>
      <c r="N66" t="s">
        <v>493</v>
      </c>
    </row>
    <row r="67" spans="1:14" x14ac:dyDescent="0.25">
      <c r="A67" t="s">
        <v>79</v>
      </c>
      <c r="B67" t="s">
        <v>166</v>
      </c>
      <c r="C67" t="s">
        <v>232</v>
      </c>
      <c r="D67" t="s">
        <v>319</v>
      </c>
      <c r="E67" t="s">
        <v>327</v>
      </c>
      <c r="F67" t="s">
        <v>393</v>
      </c>
      <c r="G67" t="s">
        <v>479</v>
      </c>
      <c r="H67" s="8">
        <v>45731</v>
      </c>
      <c r="I67" s="6">
        <f>VLOOKUP(G67,Definitions!$B:$C,2,0)</f>
        <v>0.05</v>
      </c>
      <c r="J67" s="8">
        <v>45769</v>
      </c>
      <c r="K67" s="10">
        <v>40800</v>
      </c>
      <c r="M67" t="s">
        <v>491</v>
      </c>
      <c r="N67" t="s">
        <v>494</v>
      </c>
    </row>
    <row r="68" spans="1:14" x14ac:dyDescent="0.25">
      <c r="A68" t="s">
        <v>80</v>
      </c>
      <c r="B68" t="s">
        <v>165</v>
      </c>
      <c r="C68" t="s">
        <v>233</v>
      </c>
      <c r="D68" t="s">
        <v>321</v>
      </c>
      <c r="E68" t="s">
        <v>324</v>
      </c>
      <c r="F68" t="s">
        <v>394</v>
      </c>
      <c r="G68" t="s">
        <v>479</v>
      </c>
      <c r="H68" s="8">
        <v>45737</v>
      </c>
      <c r="I68" s="6">
        <f>VLOOKUP(G68,Definitions!$B:$C,2,0)</f>
        <v>0.05</v>
      </c>
      <c r="J68" s="8">
        <v>45797</v>
      </c>
      <c r="K68" s="10">
        <v>13000</v>
      </c>
      <c r="M68" t="s">
        <v>491</v>
      </c>
      <c r="N68" t="s">
        <v>493</v>
      </c>
    </row>
    <row r="69" spans="1:14" x14ac:dyDescent="0.25">
      <c r="A69" t="s">
        <v>81</v>
      </c>
      <c r="B69" t="s">
        <v>165</v>
      </c>
      <c r="C69" t="s">
        <v>234</v>
      </c>
      <c r="D69" t="s">
        <v>317</v>
      </c>
      <c r="E69" t="s">
        <v>325</v>
      </c>
      <c r="F69" t="s">
        <v>395</v>
      </c>
      <c r="G69" t="s">
        <v>483</v>
      </c>
      <c r="H69" s="8">
        <v>45706</v>
      </c>
      <c r="I69" s="6">
        <f>VLOOKUP(G69,Definitions!$B:$C,2,0)</f>
        <v>0.5</v>
      </c>
      <c r="J69" s="8">
        <v>45748</v>
      </c>
      <c r="K69" s="10">
        <v>33900</v>
      </c>
      <c r="M69" t="s">
        <v>490</v>
      </c>
      <c r="N69" t="s">
        <v>494</v>
      </c>
    </row>
    <row r="70" spans="1:14" x14ac:dyDescent="0.25">
      <c r="A70" t="s">
        <v>82</v>
      </c>
      <c r="B70" t="s">
        <v>166</v>
      </c>
      <c r="C70" t="s">
        <v>235</v>
      </c>
      <c r="D70" t="s">
        <v>320</v>
      </c>
      <c r="E70" t="s">
        <v>323</v>
      </c>
      <c r="F70" t="s">
        <v>396</v>
      </c>
      <c r="G70" t="s">
        <v>482</v>
      </c>
      <c r="H70" s="8">
        <v>45670</v>
      </c>
      <c r="I70" s="6">
        <f>VLOOKUP(G70,Definitions!$B:$C,2,0)</f>
        <v>0.25</v>
      </c>
      <c r="J70" s="8">
        <v>45715</v>
      </c>
      <c r="K70" s="10">
        <v>31800</v>
      </c>
      <c r="M70" t="s">
        <v>489</v>
      </c>
      <c r="N70" t="s">
        <v>494</v>
      </c>
    </row>
    <row r="71" spans="1:14" x14ac:dyDescent="0.25">
      <c r="A71" t="s">
        <v>83</v>
      </c>
      <c r="B71" t="s">
        <v>164</v>
      </c>
      <c r="C71" t="s">
        <v>236</v>
      </c>
      <c r="D71" t="s">
        <v>319</v>
      </c>
      <c r="E71" t="s">
        <v>323</v>
      </c>
      <c r="F71" t="s">
        <v>397</v>
      </c>
      <c r="G71" t="s">
        <v>483</v>
      </c>
      <c r="H71" s="8">
        <v>45722</v>
      </c>
      <c r="I71" s="6">
        <f>VLOOKUP(G71,Definitions!$B:$C,2,0)</f>
        <v>0.5</v>
      </c>
      <c r="J71" s="8">
        <v>45775</v>
      </c>
      <c r="K71" s="10">
        <v>38500</v>
      </c>
      <c r="M71" t="s">
        <v>489</v>
      </c>
      <c r="N71" t="s">
        <v>493</v>
      </c>
    </row>
    <row r="72" spans="1:14" x14ac:dyDescent="0.25">
      <c r="A72" t="s">
        <v>84</v>
      </c>
      <c r="B72" t="s">
        <v>165</v>
      </c>
      <c r="C72" t="s">
        <v>237</v>
      </c>
      <c r="D72" t="s">
        <v>317</v>
      </c>
      <c r="E72" t="s">
        <v>324</v>
      </c>
      <c r="F72" t="s">
        <v>398</v>
      </c>
      <c r="G72" t="s">
        <v>482</v>
      </c>
      <c r="H72" s="8">
        <v>45684</v>
      </c>
      <c r="I72" s="6">
        <f>VLOOKUP(G72,Definitions!$B:$C,2,0)</f>
        <v>0.25</v>
      </c>
      <c r="J72" s="8">
        <v>45736</v>
      </c>
      <c r="K72" s="10">
        <v>29300</v>
      </c>
      <c r="M72" t="s">
        <v>490</v>
      </c>
      <c r="N72" t="s">
        <v>492</v>
      </c>
    </row>
    <row r="73" spans="1:14" x14ac:dyDescent="0.25">
      <c r="A73" t="s">
        <v>85</v>
      </c>
      <c r="B73" t="s">
        <v>165</v>
      </c>
      <c r="C73" t="s">
        <v>238</v>
      </c>
      <c r="D73" t="s">
        <v>318</v>
      </c>
      <c r="E73" t="s">
        <v>325</v>
      </c>
      <c r="F73" t="s">
        <v>399</v>
      </c>
      <c r="G73" t="s">
        <v>481</v>
      </c>
      <c r="H73" s="8">
        <v>45654</v>
      </c>
      <c r="I73" s="6">
        <f>VLOOKUP(G73,Definitions!$B:$C,2,0)</f>
        <v>0.1</v>
      </c>
      <c r="J73" s="8">
        <v>45672</v>
      </c>
      <c r="K73" s="10">
        <v>17700</v>
      </c>
      <c r="M73" t="s">
        <v>491</v>
      </c>
      <c r="N73" t="s">
        <v>494</v>
      </c>
    </row>
    <row r="74" spans="1:14" x14ac:dyDescent="0.25">
      <c r="A74" t="s">
        <v>86</v>
      </c>
      <c r="B74" t="s">
        <v>164</v>
      </c>
      <c r="C74" t="s">
        <v>239</v>
      </c>
      <c r="D74" t="s">
        <v>320</v>
      </c>
      <c r="E74" t="s">
        <v>326</v>
      </c>
      <c r="F74" t="s">
        <v>400</v>
      </c>
      <c r="G74" t="s">
        <v>482</v>
      </c>
      <c r="H74" s="8">
        <v>45714</v>
      </c>
      <c r="I74" s="6">
        <f>VLOOKUP(G74,Definitions!$B:$C,2,0)</f>
        <v>0.25</v>
      </c>
      <c r="J74" s="8">
        <v>45736</v>
      </c>
      <c r="K74" s="10">
        <v>9700</v>
      </c>
      <c r="M74" t="s">
        <v>491</v>
      </c>
      <c r="N74" t="s">
        <v>494</v>
      </c>
    </row>
    <row r="75" spans="1:14" x14ac:dyDescent="0.25">
      <c r="A75" t="s">
        <v>87</v>
      </c>
      <c r="B75" t="s">
        <v>165</v>
      </c>
      <c r="C75" t="s">
        <v>240</v>
      </c>
      <c r="D75" t="s">
        <v>321</v>
      </c>
      <c r="E75" t="s">
        <v>327</v>
      </c>
      <c r="F75" t="s">
        <v>401</v>
      </c>
      <c r="G75" t="s">
        <v>483</v>
      </c>
      <c r="H75" s="8">
        <v>45724</v>
      </c>
      <c r="I75" s="6">
        <f>VLOOKUP(G75,Definitions!$B:$C,2,0)</f>
        <v>0.5</v>
      </c>
      <c r="J75" s="8">
        <v>45759</v>
      </c>
      <c r="K75" s="10">
        <v>38100</v>
      </c>
      <c r="M75" t="s">
        <v>490</v>
      </c>
      <c r="N75" t="s">
        <v>493</v>
      </c>
    </row>
    <row r="76" spans="1:14" x14ac:dyDescent="0.25">
      <c r="A76" t="s">
        <v>88</v>
      </c>
      <c r="B76" t="s">
        <v>164</v>
      </c>
      <c r="C76" t="s">
        <v>241</v>
      </c>
      <c r="D76" t="s">
        <v>320</v>
      </c>
      <c r="E76" t="s">
        <v>324</v>
      </c>
      <c r="F76" t="s">
        <v>402</v>
      </c>
      <c r="G76" t="s">
        <v>479</v>
      </c>
      <c r="H76" s="8">
        <v>45666</v>
      </c>
      <c r="I76" s="6">
        <f>VLOOKUP(G76,Definitions!$B:$C,2,0)</f>
        <v>0.05</v>
      </c>
      <c r="J76" s="8">
        <v>45716</v>
      </c>
      <c r="K76" s="10">
        <v>29300</v>
      </c>
      <c r="M76" t="s">
        <v>490</v>
      </c>
      <c r="N76" t="s">
        <v>492</v>
      </c>
    </row>
    <row r="77" spans="1:14" x14ac:dyDescent="0.25">
      <c r="A77" t="s">
        <v>89</v>
      </c>
      <c r="B77" t="s">
        <v>164</v>
      </c>
      <c r="C77" t="s">
        <v>242</v>
      </c>
      <c r="D77" t="s">
        <v>319</v>
      </c>
      <c r="E77" t="s">
        <v>326</v>
      </c>
      <c r="F77" t="s">
        <v>403</v>
      </c>
      <c r="G77" t="s">
        <v>483</v>
      </c>
      <c r="H77" s="8">
        <v>45756</v>
      </c>
      <c r="I77" s="6">
        <f>VLOOKUP(G77,Definitions!$B:$C,2,0)</f>
        <v>0.5</v>
      </c>
      <c r="J77" s="8">
        <v>45789</v>
      </c>
      <c r="K77" s="10">
        <v>49300</v>
      </c>
      <c r="M77" t="s">
        <v>489</v>
      </c>
      <c r="N77" t="s">
        <v>492</v>
      </c>
    </row>
    <row r="78" spans="1:14" x14ac:dyDescent="0.25">
      <c r="A78" t="s">
        <v>90</v>
      </c>
      <c r="B78" t="s">
        <v>165</v>
      </c>
      <c r="C78" t="s">
        <v>243</v>
      </c>
      <c r="D78" t="s">
        <v>320</v>
      </c>
      <c r="E78" t="s">
        <v>326</v>
      </c>
      <c r="F78" t="s">
        <v>404</v>
      </c>
      <c r="G78" t="s">
        <v>480</v>
      </c>
      <c r="H78" s="8">
        <v>45746</v>
      </c>
      <c r="I78" s="6">
        <f>VLOOKUP(G78,Definitions!$B:$C,2,0)</f>
        <v>1</v>
      </c>
      <c r="J78" s="8">
        <v>45802</v>
      </c>
      <c r="K78" s="10">
        <v>21600</v>
      </c>
      <c r="M78" t="s">
        <v>491</v>
      </c>
      <c r="N78" t="s">
        <v>493</v>
      </c>
    </row>
    <row r="79" spans="1:14" x14ac:dyDescent="0.25">
      <c r="A79" t="s">
        <v>91</v>
      </c>
      <c r="B79" t="s">
        <v>164</v>
      </c>
      <c r="C79" t="s">
        <v>244</v>
      </c>
      <c r="D79" t="s">
        <v>318</v>
      </c>
      <c r="E79" t="s">
        <v>323</v>
      </c>
      <c r="F79" t="s">
        <v>405</v>
      </c>
      <c r="G79" t="s">
        <v>482</v>
      </c>
      <c r="H79" s="8">
        <v>45749</v>
      </c>
      <c r="I79" s="6">
        <f>VLOOKUP(G79,Definitions!$B:$C,2,0)</f>
        <v>0.25</v>
      </c>
      <c r="J79" s="8">
        <v>45808</v>
      </c>
      <c r="K79" s="10">
        <v>7900</v>
      </c>
      <c r="M79" t="s">
        <v>489</v>
      </c>
      <c r="N79" t="s">
        <v>492</v>
      </c>
    </row>
    <row r="80" spans="1:14" x14ac:dyDescent="0.25">
      <c r="A80" t="s">
        <v>92</v>
      </c>
      <c r="B80" t="s">
        <v>164</v>
      </c>
      <c r="C80" t="s">
        <v>245</v>
      </c>
      <c r="D80" t="s">
        <v>322</v>
      </c>
      <c r="E80" t="s">
        <v>324</v>
      </c>
      <c r="F80" t="s">
        <v>406</v>
      </c>
      <c r="G80" t="s">
        <v>481</v>
      </c>
      <c r="H80" s="8">
        <v>45808</v>
      </c>
      <c r="I80" s="6">
        <f>VLOOKUP(G80,Definitions!$B:$C,2,0)</f>
        <v>0.1</v>
      </c>
      <c r="J80" s="8">
        <v>45830</v>
      </c>
      <c r="K80" s="10">
        <v>31100</v>
      </c>
      <c r="M80" t="s">
        <v>488</v>
      </c>
      <c r="N80" t="s">
        <v>494</v>
      </c>
    </row>
    <row r="81" spans="1:14" x14ac:dyDescent="0.25">
      <c r="A81" t="s">
        <v>93</v>
      </c>
      <c r="B81" t="s">
        <v>166</v>
      </c>
      <c r="C81" t="s">
        <v>246</v>
      </c>
      <c r="D81" t="s">
        <v>317</v>
      </c>
      <c r="E81" t="s">
        <v>323</v>
      </c>
      <c r="F81" t="s">
        <v>407</v>
      </c>
      <c r="G81" t="s">
        <v>482</v>
      </c>
      <c r="H81" s="8">
        <v>45800</v>
      </c>
      <c r="I81" s="6">
        <f>VLOOKUP(G81,Definitions!$B:$C,2,0)</f>
        <v>0.25</v>
      </c>
      <c r="J81" s="8">
        <v>45819</v>
      </c>
      <c r="K81" s="10">
        <v>11300</v>
      </c>
      <c r="M81" t="s">
        <v>489</v>
      </c>
      <c r="N81" t="s">
        <v>494</v>
      </c>
    </row>
    <row r="82" spans="1:14" x14ac:dyDescent="0.25">
      <c r="A82" t="s">
        <v>94</v>
      </c>
      <c r="B82" t="s">
        <v>166</v>
      </c>
      <c r="C82" t="s">
        <v>247</v>
      </c>
      <c r="D82" t="s">
        <v>320</v>
      </c>
      <c r="E82" t="s">
        <v>325</v>
      </c>
      <c r="F82" t="s">
        <v>408</v>
      </c>
      <c r="G82" t="s">
        <v>482</v>
      </c>
      <c r="H82" s="8">
        <v>45756</v>
      </c>
      <c r="I82" s="6">
        <f>VLOOKUP(G82,Definitions!$B:$C,2,0)</f>
        <v>0.25</v>
      </c>
      <c r="J82" s="8">
        <v>45778</v>
      </c>
      <c r="K82" s="10">
        <v>46100</v>
      </c>
      <c r="M82" t="s">
        <v>489</v>
      </c>
      <c r="N82" t="s">
        <v>492</v>
      </c>
    </row>
    <row r="83" spans="1:14" x14ac:dyDescent="0.25">
      <c r="A83" t="s">
        <v>95</v>
      </c>
      <c r="B83" t="s">
        <v>166</v>
      </c>
      <c r="C83" t="s">
        <v>248</v>
      </c>
      <c r="D83" t="s">
        <v>317</v>
      </c>
      <c r="E83" t="s">
        <v>326</v>
      </c>
      <c r="F83" t="s">
        <v>409</v>
      </c>
      <c r="G83" t="s">
        <v>479</v>
      </c>
      <c r="H83" s="8">
        <v>45746</v>
      </c>
      <c r="I83" s="6">
        <f>VLOOKUP(G83,Definitions!$B:$C,2,0)</f>
        <v>0.05</v>
      </c>
      <c r="J83" s="8">
        <v>45775</v>
      </c>
      <c r="K83" s="10">
        <v>6200</v>
      </c>
      <c r="M83" t="s">
        <v>488</v>
      </c>
      <c r="N83" t="s">
        <v>492</v>
      </c>
    </row>
    <row r="84" spans="1:14" x14ac:dyDescent="0.25">
      <c r="A84" t="s">
        <v>96</v>
      </c>
      <c r="B84" t="s">
        <v>166</v>
      </c>
      <c r="C84" t="s">
        <v>249</v>
      </c>
      <c r="D84" t="s">
        <v>320</v>
      </c>
      <c r="E84" t="s">
        <v>327</v>
      </c>
      <c r="F84" t="s">
        <v>410</v>
      </c>
      <c r="G84" t="s">
        <v>480</v>
      </c>
      <c r="H84" s="8">
        <v>45757</v>
      </c>
      <c r="I84" s="6">
        <f>VLOOKUP(G84,Definitions!$B:$C,2,0)</f>
        <v>1</v>
      </c>
      <c r="J84" s="8">
        <v>45781</v>
      </c>
      <c r="K84" s="10">
        <v>14500</v>
      </c>
      <c r="M84" t="s">
        <v>488</v>
      </c>
      <c r="N84" t="s">
        <v>493</v>
      </c>
    </row>
    <row r="85" spans="1:14" x14ac:dyDescent="0.25">
      <c r="A85" t="s">
        <v>97</v>
      </c>
      <c r="B85" t="s">
        <v>164</v>
      </c>
      <c r="C85" t="s">
        <v>250</v>
      </c>
      <c r="D85" t="s">
        <v>319</v>
      </c>
      <c r="E85" t="s">
        <v>323</v>
      </c>
      <c r="F85" t="s">
        <v>411</v>
      </c>
      <c r="G85" t="s">
        <v>482</v>
      </c>
      <c r="H85" s="8">
        <v>45639</v>
      </c>
      <c r="I85" s="6">
        <f>VLOOKUP(G85,Definitions!$B:$C,2,0)</f>
        <v>0.25</v>
      </c>
      <c r="J85" s="8">
        <v>45689</v>
      </c>
      <c r="K85" s="10">
        <v>11900</v>
      </c>
      <c r="M85" t="s">
        <v>491</v>
      </c>
      <c r="N85" t="s">
        <v>492</v>
      </c>
    </row>
    <row r="86" spans="1:14" x14ac:dyDescent="0.25">
      <c r="A86" t="s">
        <v>98</v>
      </c>
      <c r="B86" t="s">
        <v>164</v>
      </c>
      <c r="C86" t="s">
        <v>251</v>
      </c>
      <c r="D86" t="s">
        <v>319</v>
      </c>
      <c r="E86" t="s">
        <v>323</v>
      </c>
      <c r="F86" t="s">
        <v>412</v>
      </c>
      <c r="G86" t="s">
        <v>478</v>
      </c>
      <c r="H86" s="8">
        <v>45804</v>
      </c>
      <c r="I86" s="6">
        <f>VLOOKUP(G86,Definitions!$B:$C,2,0)</f>
        <v>0</v>
      </c>
      <c r="J86" s="8">
        <v>45853</v>
      </c>
      <c r="K86" s="10">
        <v>17800</v>
      </c>
      <c r="L86" t="s">
        <v>485</v>
      </c>
      <c r="M86" t="s">
        <v>491</v>
      </c>
      <c r="N86" t="s">
        <v>493</v>
      </c>
    </row>
    <row r="87" spans="1:14" x14ac:dyDescent="0.25">
      <c r="A87" t="s">
        <v>99</v>
      </c>
      <c r="B87" t="s">
        <v>165</v>
      </c>
      <c r="C87" t="s">
        <v>252</v>
      </c>
      <c r="D87" t="s">
        <v>319</v>
      </c>
      <c r="E87" t="s">
        <v>325</v>
      </c>
      <c r="F87" t="s">
        <v>413</v>
      </c>
      <c r="G87" t="s">
        <v>482</v>
      </c>
      <c r="H87" s="8">
        <v>45775</v>
      </c>
      <c r="I87" s="6">
        <f>VLOOKUP(G87,Definitions!$B:$C,2,0)</f>
        <v>0.25</v>
      </c>
      <c r="J87" s="8">
        <v>45803</v>
      </c>
      <c r="K87" s="10">
        <v>42700</v>
      </c>
      <c r="M87" t="s">
        <v>489</v>
      </c>
      <c r="N87" t="s">
        <v>492</v>
      </c>
    </row>
    <row r="88" spans="1:14" x14ac:dyDescent="0.25">
      <c r="A88" t="s">
        <v>100</v>
      </c>
      <c r="B88" t="s">
        <v>166</v>
      </c>
      <c r="C88" t="s">
        <v>253</v>
      </c>
      <c r="D88" t="s">
        <v>317</v>
      </c>
      <c r="E88" t="s">
        <v>326</v>
      </c>
      <c r="F88" t="s">
        <v>414</v>
      </c>
      <c r="G88" t="s">
        <v>478</v>
      </c>
      <c r="H88" s="8">
        <v>45771</v>
      </c>
      <c r="I88" s="6">
        <f>VLOOKUP(G88,Definitions!$B:$C,2,0)</f>
        <v>0</v>
      </c>
      <c r="J88" s="8">
        <v>45831</v>
      </c>
      <c r="K88" s="10">
        <v>16900</v>
      </c>
      <c r="L88" t="s">
        <v>319</v>
      </c>
      <c r="M88" t="s">
        <v>489</v>
      </c>
      <c r="N88" t="s">
        <v>493</v>
      </c>
    </row>
    <row r="89" spans="1:14" x14ac:dyDescent="0.25">
      <c r="A89" t="s">
        <v>101</v>
      </c>
      <c r="B89" t="s">
        <v>166</v>
      </c>
      <c r="C89" t="s">
        <v>254</v>
      </c>
      <c r="D89" t="s">
        <v>318</v>
      </c>
      <c r="E89" t="s">
        <v>324</v>
      </c>
      <c r="F89" t="s">
        <v>415</v>
      </c>
      <c r="G89" t="s">
        <v>482</v>
      </c>
      <c r="H89" s="8">
        <v>45697</v>
      </c>
      <c r="I89" s="6">
        <f>VLOOKUP(G89,Definitions!$B:$C,2,0)</f>
        <v>0.25</v>
      </c>
      <c r="J89" s="8">
        <v>45749</v>
      </c>
      <c r="K89" s="10">
        <v>33100</v>
      </c>
      <c r="M89" t="s">
        <v>490</v>
      </c>
      <c r="N89" t="s">
        <v>493</v>
      </c>
    </row>
    <row r="90" spans="1:14" x14ac:dyDescent="0.25">
      <c r="A90" t="s">
        <v>102</v>
      </c>
      <c r="B90" t="s">
        <v>164</v>
      </c>
      <c r="C90" t="s">
        <v>255</v>
      </c>
      <c r="D90" t="s">
        <v>317</v>
      </c>
      <c r="E90" t="s">
        <v>327</v>
      </c>
      <c r="F90" t="s">
        <v>416</v>
      </c>
      <c r="G90" t="s">
        <v>480</v>
      </c>
      <c r="H90" s="8">
        <v>45685</v>
      </c>
      <c r="I90" s="6">
        <f>VLOOKUP(G90,Definitions!$B:$C,2,0)</f>
        <v>1</v>
      </c>
      <c r="J90" s="8">
        <v>45700</v>
      </c>
      <c r="K90" s="10">
        <v>7700</v>
      </c>
      <c r="M90" t="s">
        <v>489</v>
      </c>
      <c r="N90" t="s">
        <v>494</v>
      </c>
    </row>
    <row r="91" spans="1:14" x14ac:dyDescent="0.25">
      <c r="A91" t="s">
        <v>103</v>
      </c>
      <c r="B91" t="s">
        <v>164</v>
      </c>
      <c r="C91" t="s">
        <v>256</v>
      </c>
      <c r="D91" t="s">
        <v>321</v>
      </c>
      <c r="E91" t="s">
        <v>325</v>
      </c>
      <c r="F91" t="s">
        <v>417</v>
      </c>
      <c r="G91" t="s">
        <v>480</v>
      </c>
      <c r="H91" s="8">
        <v>45660</v>
      </c>
      <c r="I91" s="6">
        <f>VLOOKUP(G91,Definitions!$B:$C,2,0)</f>
        <v>1</v>
      </c>
      <c r="J91" s="8">
        <v>45693</v>
      </c>
      <c r="K91" s="10">
        <v>16200</v>
      </c>
      <c r="M91" t="s">
        <v>488</v>
      </c>
      <c r="N91" t="s">
        <v>492</v>
      </c>
    </row>
    <row r="92" spans="1:14" x14ac:dyDescent="0.25">
      <c r="A92" t="s">
        <v>104</v>
      </c>
      <c r="B92" t="s">
        <v>166</v>
      </c>
      <c r="C92" t="s">
        <v>257</v>
      </c>
      <c r="D92" t="s">
        <v>318</v>
      </c>
      <c r="E92" t="s">
        <v>326</v>
      </c>
      <c r="F92" t="s">
        <v>418</v>
      </c>
      <c r="G92" t="s">
        <v>483</v>
      </c>
      <c r="H92" s="8">
        <v>45671</v>
      </c>
      <c r="I92" s="6">
        <f>VLOOKUP(G92,Definitions!$B:$C,2,0)</f>
        <v>0.5</v>
      </c>
      <c r="J92" s="8">
        <v>45722</v>
      </c>
      <c r="K92" s="10">
        <v>47200</v>
      </c>
      <c r="M92" t="s">
        <v>489</v>
      </c>
      <c r="N92" t="s">
        <v>492</v>
      </c>
    </row>
    <row r="93" spans="1:14" x14ac:dyDescent="0.25">
      <c r="A93" t="s">
        <v>105</v>
      </c>
      <c r="B93" t="s">
        <v>164</v>
      </c>
      <c r="C93" t="s">
        <v>258</v>
      </c>
      <c r="D93" t="s">
        <v>321</v>
      </c>
      <c r="E93" t="s">
        <v>324</v>
      </c>
      <c r="F93" t="s">
        <v>419</v>
      </c>
      <c r="G93" t="s">
        <v>482</v>
      </c>
      <c r="H93" s="8">
        <v>45681</v>
      </c>
      <c r="I93" s="6">
        <f>VLOOKUP(G93,Definitions!$B:$C,2,0)</f>
        <v>0.25</v>
      </c>
      <c r="J93" s="8">
        <v>45711</v>
      </c>
      <c r="K93" s="10">
        <v>36300</v>
      </c>
      <c r="M93" t="s">
        <v>490</v>
      </c>
      <c r="N93" t="s">
        <v>493</v>
      </c>
    </row>
    <row r="94" spans="1:14" x14ac:dyDescent="0.25">
      <c r="A94" t="s">
        <v>106</v>
      </c>
      <c r="B94" t="s">
        <v>165</v>
      </c>
      <c r="C94" t="s">
        <v>259</v>
      </c>
      <c r="D94" t="s">
        <v>318</v>
      </c>
      <c r="E94" t="s">
        <v>325</v>
      </c>
      <c r="F94" t="s">
        <v>420</v>
      </c>
      <c r="G94" t="s">
        <v>482</v>
      </c>
      <c r="H94" s="8">
        <v>45655</v>
      </c>
      <c r="I94" s="6">
        <f>VLOOKUP(G94,Definitions!$B:$C,2,0)</f>
        <v>0.25</v>
      </c>
      <c r="J94" s="8">
        <v>45693</v>
      </c>
      <c r="K94" s="10">
        <v>15300</v>
      </c>
      <c r="M94" t="s">
        <v>488</v>
      </c>
      <c r="N94" t="s">
        <v>493</v>
      </c>
    </row>
    <row r="95" spans="1:14" x14ac:dyDescent="0.25">
      <c r="A95" t="s">
        <v>107</v>
      </c>
      <c r="B95" t="s">
        <v>165</v>
      </c>
      <c r="C95" t="s">
        <v>260</v>
      </c>
      <c r="D95" t="s">
        <v>319</v>
      </c>
      <c r="E95" t="s">
        <v>323</v>
      </c>
      <c r="F95" t="s">
        <v>421</v>
      </c>
      <c r="G95" t="s">
        <v>478</v>
      </c>
      <c r="H95" s="8">
        <v>45722</v>
      </c>
      <c r="I95" s="6">
        <f>VLOOKUP(G95,Definitions!$B:$C,2,0)</f>
        <v>0</v>
      </c>
      <c r="J95" s="8">
        <v>45782</v>
      </c>
      <c r="K95" s="10">
        <v>31400</v>
      </c>
      <c r="L95" t="s">
        <v>486</v>
      </c>
      <c r="M95" t="s">
        <v>489</v>
      </c>
      <c r="N95" t="s">
        <v>494</v>
      </c>
    </row>
    <row r="96" spans="1:14" x14ac:dyDescent="0.25">
      <c r="A96" t="s">
        <v>108</v>
      </c>
      <c r="B96" t="s">
        <v>165</v>
      </c>
      <c r="C96" t="s">
        <v>261</v>
      </c>
      <c r="D96" t="s">
        <v>319</v>
      </c>
      <c r="E96" t="s">
        <v>324</v>
      </c>
      <c r="F96" t="s">
        <v>422</v>
      </c>
      <c r="G96" t="s">
        <v>478</v>
      </c>
      <c r="H96" s="8">
        <v>45679</v>
      </c>
      <c r="I96" s="6">
        <f>VLOOKUP(G96,Definitions!$B:$C,2,0)</f>
        <v>0</v>
      </c>
      <c r="J96" s="8">
        <v>45718</v>
      </c>
      <c r="K96" s="10">
        <v>47500</v>
      </c>
      <c r="L96" t="s">
        <v>484</v>
      </c>
      <c r="M96" t="s">
        <v>491</v>
      </c>
      <c r="N96" t="s">
        <v>493</v>
      </c>
    </row>
    <row r="97" spans="1:14" x14ac:dyDescent="0.25">
      <c r="A97" t="s">
        <v>109</v>
      </c>
      <c r="B97" t="s">
        <v>164</v>
      </c>
      <c r="C97" t="s">
        <v>262</v>
      </c>
      <c r="D97" t="s">
        <v>322</v>
      </c>
      <c r="E97" t="s">
        <v>324</v>
      </c>
      <c r="F97" t="s">
        <v>423</v>
      </c>
      <c r="G97" t="s">
        <v>479</v>
      </c>
      <c r="H97" s="8">
        <v>45778</v>
      </c>
      <c r="I97" s="6">
        <f>VLOOKUP(G97,Definitions!$B:$C,2,0)</f>
        <v>0.05</v>
      </c>
      <c r="J97" s="8">
        <v>45818</v>
      </c>
      <c r="K97" s="10">
        <v>37900</v>
      </c>
      <c r="M97" t="s">
        <v>489</v>
      </c>
      <c r="N97" t="s">
        <v>493</v>
      </c>
    </row>
    <row r="98" spans="1:14" x14ac:dyDescent="0.25">
      <c r="A98" t="s">
        <v>110</v>
      </c>
      <c r="B98" t="s">
        <v>165</v>
      </c>
      <c r="C98" t="s">
        <v>263</v>
      </c>
      <c r="D98" t="s">
        <v>319</v>
      </c>
      <c r="E98" t="s">
        <v>324</v>
      </c>
      <c r="F98" t="s">
        <v>424</v>
      </c>
      <c r="G98" t="s">
        <v>483</v>
      </c>
      <c r="H98" s="8">
        <v>45759</v>
      </c>
      <c r="I98" s="6">
        <f>VLOOKUP(G98,Definitions!$B:$C,2,0)</f>
        <v>0.5</v>
      </c>
      <c r="J98" s="8">
        <v>45815</v>
      </c>
      <c r="K98" s="10">
        <v>28500</v>
      </c>
      <c r="M98" t="s">
        <v>491</v>
      </c>
      <c r="N98" t="s">
        <v>492</v>
      </c>
    </row>
    <row r="99" spans="1:14" x14ac:dyDescent="0.25">
      <c r="A99" t="s">
        <v>111</v>
      </c>
      <c r="B99" t="s">
        <v>164</v>
      </c>
      <c r="C99" t="s">
        <v>264</v>
      </c>
      <c r="D99" t="s">
        <v>318</v>
      </c>
      <c r="E99" t="s">
        <v>325</v>
      </c>
      <c r="F99" t="s">
        <v>425</v>
      </c>
      <c r="G99" t="s">
        <v>480</v>
      </c>
      <c r="H99" s="8">
        <v>45776</v>
      </c>
      <c r="I99" s="6">
        <f>VLOOKUP(G99,Definitions!$B:$C,2,0)</f>
        <v>1</v>
      </c>
      <c r="J99" s="8">
        <v>45829</v>
      </c>
      <c r="K99" s="10">
        <v>20100</v>
      </c>
      <c r="M99" t="s">
        <v>491</v>
      </c>
      <c r="N99" t="s">
        <v>493</v>
      </c>
    </row>
    <row r="100" spans="1:14" x14ac:dyDescent="0.25">
      <c r="A100" t="s">
        <v>112</v>
      </c>
      <c r="B100" t="s">
        <v>164</v>
      </c>
      <c r="C100" t="s">
        <v>265</v>
      </c>
      <c r="D100" t="s">
        <v>320</v>
      </c>
      <c r="E100" t="s">
        <v>323</v>
      </c>
      <c r="F100" t="s">
        <v>426</v>
      </c>
      <c r="G100" t="s">
        <v>481</v>
      </c>
      <c r="H100" s="8">
        <v>45798</v>
      </c>
      <c r="I100" s="6">
        <f>VLOOKUP(G100,Definitions!$B:$C,2,0)</f>
        <v>0.1</v>
      </c>
      <c r="J100" s="8">
        <v>45846</v>
      </c>
      <c r="K100" s="10">
        <v>19300</v>
      </c>
      <c r="M100" t="s">
        <v>489</v>
      </c>
      <c r="N100" t="s">
        <v>492</v>
      </c>
    </row>
    <row r="101" spans="1:14" x14ac:dyDescent="0.25">
      <c r="A101" t="s">
        <v>113</v>
      </c>
      <c r="B101" t="s">
        <v>164</v>
      </c>
      <c r="C101" t="s">
        <v>266</v>
      </c>
      <c r="D101" t="s">
        <v>321</v>
      </c>
      <c r="E101" t="s">
        <v>323</v>
      </c>
      <c r="F101" t="s">
        <v>427</v>
      </c>
      <c r="G101" t="s">
        <v>481</v>
      </c>
      <c r="H101" s="8">
        <v>45724</v>
      </c>
      <c r="I101" s="6">
        <f>VLOOKUP(G101,Definitions!$B:$C,2,0)</f>
        <v>0.1</v>
      </c>
      <c r="J101" s="8">
        <v>45777</v>
      </c>
      <c r="K101" s="10">
        <v>23600</v>
      </c>
      <c r="M101" t="s">
        <v>489</v>
      </c>
      <c r="N101" t="s">
        <v>492</v>
      </c>
    </row>
    <row r="102" spans="1:14" x14ac:dyDescent="0.25">
      <c r="A102" t="s">
        <v>114</v>
      </c>
      <c r="B102" t="s">
        <v>166</v>
      </c>
      <c r="C102" t="s">
        <v>267</v>
      </c>
      <c r="D102" t="s">
        <v>322</v>
      </c>
      <c r="E102" t="s">
        <v>324</v>
      </c>
      <c r="F102" t="s">
        <v>428</v>
      </c>
      <c r="G102" t="s">
        <v>482</v>
      </c>
      <c r="H102" s="8">
        <v>45797</v>
      </c>
      <c r="I102" s="6">
        <f>VLOOKUP(G102,Definitions!$B:$C,2,0)</f>
        <v>0.25</v>
      </c>
      <c r="J102" s="8">
        <v>45834</v>
      </c>
      <c r="K102" s="10">
        <v>46900</v>
      </c>
      <c r="M102" t="s">
        <v>490</v>
      </c>
      <c r="N102" t="s">
        <v>492</v>
      </c>
    </row>
    <row r="103" spans="1:14" x14ac:dyDescent="0.25">
      <c r="A103" t="s">
        <v>115</v>
      </c>
      <c r="B103" t="s">
        <v>166</v>
      </c>
      <c r="C103" t="s">
        <v>268</v>
      </c>
      <c r="D103" t="s">
        <v>318</v>
      </c>
      <c r="E103" t="s">
        <v>325</v>
      </c>
      <c r="F103" t="s">
        <v>429</v>
      </c>
      <c r="G103" t="s">
        <v>480</v>
      </c>
      <c r="H103" s="8">
        <v>45652</v>
      </c>
      <c r="I103" s="6">
        <f>VLOOKUP(G103,Definitions!$B:$C,2,0)</f>
        <v>1</v>
      </c>
      <c r="J103" s="8">
        <v>45687</v>
      </c>
      <c r="K103" s="10">
        <v>26700</v>
      </c>
      <c r="M103" t="s">
        <v>491</v>
      </c>
      <c r="N103" t="s">
        <v>493</v>
      </c>
    </row>
    <row r="104" spans="1:14" x14ac:dyDescent="0.25">
      <c r="A104" t="s">
        <v>116</v>
      </c>
      <c r="B104" t="s">
        <v>165</v>
      </c>
      <c r="C104" t="s">
        <v>269</v>
      </c>
      <c r="D104" t="s">
        <v>321</v>
      </c>
      <c r="E104" t="s">
        <v>326</v>
      </c>
      <c r="F104" t="s">
        <v>430</v>
      </c>
      <c r="G104" t="s">
        <v>478</v>
      </c>
      <c r="H104" s="8">
        <v>45762</v>
      </c>
      <c r="I104" s="6">
        <f>VLOOKUP(G104,Definitions!$B:$C,2,0)</f>
        <v>0</v>
      </c>
      <c r="J104" s="8">
        <v>45783</v>
      </c>
      <c r="K104" s="10">
        <v>46200</v>
      </c>
      <c r="L104" t="s">
        <v>485</v>
      </c>
      <c r="M104" t="s">
        <v>490</v>
      </c>
      <c r="N104" t="s">
        <v>493</v>
      </c>
    </row>
    <row r="105" spans="1:14" x14ac:dyDescent="0.25">
      <c r="A105" t="s">
        <v>117</v>
      </c>
      <c r="B105" t="s">
        <v>166</v>
      </c>
      <c r="C105" t="s">
        <v>270</v>
      </c>
      <c r="D105" t="s">
        <v>318</v>
      </c>
      <c r="E105" t="s">
        <v>326</v>
      </c>
      <c r="F105" t="s">
        <v>431</v>
      </c>
      <c r="G105" t="s">
        <v>480</v>
      </c>
      <c r="H105" s="8">
        <v>45673</v>
      </c>
      <c r="I105" s="6">
        <f>VLOOKUP(G105,Definitions!$B:$C,2,0)</f>
        <v>1</v>
      </c>
      <c r="J105" s="8">
        <v>45717</v>
      </c>
      <c r="K105" s="10">
        <v>19700</v>
      </c>
      <c r="M105" t="s">
        <v>489</v>
      </c>
      <c r="N105" t="s">
        <v>493</v>
      </c>
    </row>
    <row r="106" spans="1:14" x14ac:dyDescent="0.25">
      <c r="A106" t="s">
        <v>118</v>
      </c>
      <c r="B106" t="s">
        <v>164</v>
      </c>
      <c r="C106" t="s">
        <v>271</v>
      </c>
      <c r="D106" t="s">
        <v>317</v>
      </c>
      <c r="E106" t="s">
        <v>323</v>
      </c>
      <c r="F106" t="s">
        <v>432</v>
      </c>
      <c r="G106" t="s">
        <v>482</v>
      </c>
      <c r="H106" s="8">
        <v>45708</v>
      </c>
      <c r="I106" s="6">
        <f>VLOOKUP(G106,Definitions!$B:$C,2,0)</f>
        <v>0.25</v>
      </c>
      <c r="J106" s="8">
        <v>45740</v>
      </c>
      <c r="K106" s="10">
        <v>10000</v>
      </c>
      <c r="M106" t="s">
        <v>488</v>
      </c>
      <c r="N106" t="s">
        <v>494</v>
      </c>
    </row>
    <row r="107" spans="1:14" x14ac:dyDescent="0.25">
      <c r="A107" t="s">
        <v>119</v>
      </c>
      <c r="B107" t="s">
        <v>164</v>
      </c>
      <c r="C107" t="s">
        <v>272</v>
      </c>
      <c r="D107" t="s">
        <v>320</v>
      </c>
      <c r="E107" t="s">
        <v>323</v>
      </c>
      <c r="F107" t="s">
        <v>433</v>
      </c>
      <c r="G107" t="s">
        <v>481</v>
      </c>
      <c r="H107" s="8">
        <v>45740</v>
      </c>
      <c r="I107" s="6">
        <f>VLOOKUP(G107,Definitions!$B:$C,2,0)</f>
        <v>0.1</v>
      </c>
      <c r="J107" s="8">
        <v>45794</v>
      </c>
      <c r="K107" s="10">
        <v>6600</v>
      </c>
      <c r="M107" t="s">
        <v>490</v>
      </c>
      <c r="N107" t="s">
        <v>493</v>
      </c>
    </row>
    <row r="108" spans="1:14" x14ac:dyDescent="0.25">
      <c r="A108" t="s">
        <v>120</v>
      </c>
      <c r="B108" t="s">
        <v>165</v>
      </c>
      <c r="C108" t="s">
        <v>273</v>
      </c>
      <c r="D108" t="s">
        <v>322</v>
      </c>
      <c r="E108" t="s">
        <v>323</v>
      </c>
      <c r="F108" t="s">
        <v>434</v>
      </c>
      <c r="G108" t="s">
        <v>479</v>
      </c>
      <c r="H108" s="8">
        <v>45654</v>
      </c>
      <c r="I108" s="6">
        <f>VLOOKUP(G108,Definitions!$B:$C,2,0)</f>
        <v>0.05</v>
      </c>
      <c r="J108" s="8">
        <v>45703</v>
      </c>
      <c r="K108" s="10">
        <v>44700</v>
      </c>
      <c r="M108" t="s">
        <v>491</v>
      </c>
      <c r="N108" t="s">
        <v>492</v>
      </c>
    </row>
    <row r="109" spans="1:14" x14ac:dyDescent="0.25">
      <c r="A109" t="s">
        <v>121</v>
      </c>
      <c r="B109" t="s">
        <v>165</v>
      </c>
      <c r="C109" t="s">
        <v>274</v>
      </c>
      <c r="D109" t="s">
        <v>317</v>
      </c>
      <c r="E109" t="s">
        <v>323</v>
      </c>
      <c r="F109" t="s">
        <v>435</v>
      </c>
      <c r="G109" t="s">
        <v>479</v>
      </c>
      <c r="H109" s="8">
        <v>45758</v>
      </c>
      <c r="I109" s="6">
        <f>VLOOKUP(G109,Definitions!$B:$C,2,0)</f>
        <v>0.05</v>
      </c>
      <c r="J109" s="8">
        <v>45790</v>
      </c>
      <c r="K109" s="10">
        <v>20800</v>
      </c>
      <c r="M109" t="s">
        <v>488</v>
      </c>
      <c r="N109" t="s">
        <v>493</v>
      </c>
    </row>
    <row r="110" spans="1:14" x14ac:dyDescent="0.25">
      <c r="A110" t="s">
        <v>122</v>
      </c>
      <c r="B110" t="s">
        <v>166</v>
      </c>
      <c r="C110" t="s">
        <v>275</v>
      </c>
      <c r="D110" t="s">
        <v>320</v>
      </c>
      <c r="E110" t="s">
        <v>323</v>
      </c>
      <c r="F110" t="s">
        <v>436</v>
      </c>
      <c r="G110" t="s">
        <v>478</v>
      </c>
      <c r="H110" s="8">
        <v>45692</v>
      </c>
      <c r="I110" s="6">
        <f>VLOOKUP(G110,Definitions!$B:$C,2,0)</f>
        <v>0</v>
      </c>
      <c r="J110" s="8">
        <v>45715</v>
      </c>
      <c r="K110" s="10">
        <v>29300</v>
      </c>
      <c r="L110" t="s">
        <v>486</v>
      </c>
      <c r="M110" t="s">
        <v>491</v>
      </c>
      <c r="N110" t="s">
        <v>493</v>
      </c>
    </row>
    <row r="111" spans="1:14" x14ac:dyDescent="0.25">
      <c r="A111" t="s">
        <v>123</v>
      </c>
      <c r="B111" t="s">
        <v>166</v>
      </c>
      <c r="C111" t="s">
        <v>276</v>
      </c>
      <c r="D111" t="s">
        <v>317</v>
      </c>
      <c r="E111" t="s">
        <v>324</v>
      </c>
      <c r="F111" t="s">
        <v>437</v>
      </c>
      <c r="G111" t="s">
        <v>482</v>
      </c>
      <c r="H111" s="8">
        <v>45645</v>
      </c>
      <c r="I111" s="6">
        <f>VLOOKUP(G111,Definitions!$B:$C,2,0)</f>
        <v>0.25</v>
      </c>
      <c r="J111" s="8">
        <v>45667</v>
      </c>
      <c r="K111" s="10">
        <v>14600</v>
      </c>
      <c r="M111" t="s">
        <v>489</v>
      </c>
      <c r="N111" t="s">
        <v>493</v>
      </c>
    </row>
    <row r="112" spans="1:14" x14ac:dyDescent="0.25">
      <c r="A112" t="s">
        <v>124</v>
      </c>
      <c r="B112" t="s">
        <v>165</v>
      </c>
      <c r="C112" t="s">
        <v>277</v>
      </c>
      <c r="D112" t="s">
        <v>318</v>
      </c>
      <c r="E112" t="s">
        <v>326</v>
      </c>
      <c r="F112" t="s">
        <v>438</v>
      </c>
      <c r="G112" t="s">
        <v>478</v>
      </c>
      <c r="H112" s="8">
        <v>45769</v>
      </c>
      <c r="I112" s="6">
        <f>VLOOKUP(G112,Definitions!$B:$C,2,0)</f>
        <v>0</v>
      </c>
      <c r="J112" s="8">
        <v>45795</v>
      </c>
      <c r="K112" s="10">
        <v>26500</v>
      </c>
      <c r="L112" t="s">
        <v>484</v>
      </c>
      <c r="M112" t="s">
        <v>491</v>
      </c>
      <c r="N112" t="s">
        <v>492</v>
      </c>
    </row>
    <row r="113" spans="1:14" x14ac:dyDescent="0.25">
      <c r="A113" t="s">
        <v>125</v>
      </c>
      <c r="B113" t="s">
        <v>164</v>
      </c>
      <c r="C113" t="s">
        <v>278</v>
      </c>
      <c r="D113" t="s">
        <v>320</v>
      </c>
      <c r="E113" t="s">
        <v>324</v>
      </c>
      <c r="F113" t="s">
        <v>439</v>
      </c>
      <c r="G113" t="s">
        <v>481</v>
      </c>
      <c r="H113" s="8">
        <v>45683</v>
      </c>
      <c r="I113" s="6">
        <f>VLOOKUP(G113,Definitions!$B:$C,2,0)</f>
        <v>0.1</v>
      </c>
      <c r="J113" s="8">
        <v>45717</v>
      </c>
      <c r="K113" s="10">
        <v>36700</v>
      </c>
      <c r="M113" t="s">
        <v>489</v>
      </c>
      <c r="N113" t="s">
        <v>493</v>
      </c>
    </row>
    <row r="114" spans="1:14" x14ac:dyDescent="0.25">
      <c r="A114" t="s">
        <v>126</v>
      </c>
      <c r="B114" t="s">
        <v>166</v>
      </c>
      <c r="C114" t="s">
        <v>279</v>
      </c>
      <c r="D114" t="s">
        <v>317</v>
      </c>
      <c r="E114" t="s">
        <v>327</v>
      </c>
      <c r="F114" t="s">
        <v>440</v>
      </c>
      <c r="G114" t="s">
        <v>481</v>
      </c>
      <c r="H114" s="8">
        <v>45778</v>
      </c>
      <c r="I114" s="6">
        <f>VLOOKUP(G114,Definitions!$B:$C,2,0)</f>
        <v>0.1</v>
      </c>
      <c r="J114" s="8">
        <v>45795</v>
      </c>
      <c r="K114" s="10">
        <v>33600</v>
      </c>
      <c r="M114" t="s">
        <v>491</v>
      </c>
      <c r="N114" t="s">
        <v>493</v>
      </c>
    </row>
    <row r="115" spans="1:14" x14ac:dyDescent="0.25">
      <c r="A115" t="s">
        <v>127</v>
      </c>
      <c r="B115" t="s">
        <v>164</v>
      </c>
      <c r="C115" t="s">
        <v>280</v>
      </c>
      <c r="D115" t="s">
        <v>319</v>
      </c>
      <c r="E115" t="s">
        <v>327</v>
      </c>
      <c r="F115" t="s">
        <v>441</v>
      </c>
      <c r="G115" t="s">
        <v>479</v>
      </c>
      <c r="H115" s="8">
        <v>45694</v>
      </c>
      <c r="I115" s="6">
        <f>VLOOKUP(G115,Definitions!$B:$C,2,0)</f>
        <v>0.05</v>
      </c>
      <c r="J115" s="8">
        <v>45720</v>
      </c>
      <c r="K115" s="10">
        <v>14200</v>
      </c>
      <c r="M115" t="s">
        <v>490</v>
      </c>
      <c r="N115" t="s">
        <v>494</v>
      </c>
    </row>
    <row r="116" spans="1:14" x14ac:dyDescent="0.25">
      <c r="A116" t="s">
        <v>128</v>
      </c>
      <c r="B116" t="s">
        <v>164</v>
      </c>
      <c r="C116" t="s">
        <v>281</v>
      </c>
      <c r="D116" t="s">
        <v>321</v>
      </c>
      <c r="E116" t="s">
        <v>324</v>
      </c>
      <c r="F116" t="s">
        <v>442</v>
      </c>
      <c r="G116" t="s">
        <v>482</v>
      </c>
      <c r="H116" s="8">
        <v>45812</v>
      </c>
      <c r="I116" s="6">
        <f>VLOOKUP(G116,Definitions!$B:$C,2,0)</f>
        <v>0.25</v>
      </c>
      <c r="J116" s="8">
        <v>45834</v>
      </c>
      <c r="K116" s="10">
        <v>28800</v>
      </c>
      <c r="M116" t="s">
        <v>488</v>
      </c>
      <c r="N116" t="s">
        <v>492</v>
      </c>
    </row>
    <row r="117" spans="1:14" x14ac:dyDescent="0.25">
      <c r="A117" t="s">
        <v>129</v>
      </c>
      <c r="B117" t="s">
        <v>165</v>
      </c>
      <c r="C117" t="s">
        <v>282</v>
      </c>
      <c r="D117" t="s">
        <v>322</v>
      </c>
      <c r="E117" t="s">
        <v>325</v>
      </c>
      <c r="F117" t="s">
        <v>443</v>
      </c>
      <c r="G117" t="s">
        <v>479</v>
      </c>
      <c r="H117" s="8">
        <v>45699</v>
      </c>
      <c r="I117" s="6">
        <f>VLOOKUP(G117,Definitions!$B:$C,2,0)</f>
        <v>0.05</v>
      </c>
      <c r="J117" s="8">
        <v>45753</v>
      </c>
      <c r="K117" s="10">
        <v>13900</v>
      </c>
      <c r="M117" t="s">
        <v>490</v>
      </c>
      <c r="N117" t="s">
        <v>493</v>
      </c>
    </row>
    <row r="118" spans="1:14" x14ac:dyDescent="0.25">
      <c r="A118" t="s">
        <v>130</v>
      </c>
      <c r="B118" t="s">
        <v>166</v>
      </c>
      <c r="C118" t="s">
        <v>283</v>
      </c>
      <c r="D118" t="s">
        <v>321</v>
      </c>
      <c r="E118" t="s">
        <v>323</v>
      </c>
      <c r="F118" t="s">
        <v>444</v>
      </c>
      <c r="G118" t="s">
        <v>479</v>
      </c>
      <c r="H118" s="8">
        <v>45767</v>
      </c>
      <c r="I118" s="6">
        <f>VLOOKUP(G118,Definitions!$B:$C,2,0)</f>
        <v>0.05</v>
      </c>
      <c r="J118" s="8">
        <v>45801</v>
      </c>
      <c r="K118" s="10">
        <v>41000</v>
      </c>
      <c r="M118" t="s">
        <v>490</v>
      </c>
      <c r="N118" t="s">
        <v>493</v>
      </c>
    </row>
    <row r="119" spans="1:14" x14ac:dyDescent="0.25">
      <c r="A119" t="s">
        <v>131</v>
      </c>
      <c r="B119" t="s">
        <v>164</v>
      </c>
      <c r="C119" t="s">
        <v>284</v>
      </c>
      <c r="D119" t="s">
        <v>317</v>
      </c>
      <c r="E119" t="s">
        <v>327</v>
      </c>
      <c r="F119" t="s">
        <v>445</v>
      </c>
      <c r="G119" t="s">
        <v>482</v>
      </c>
      <c r="H119" s="8">
        <v>45811</v>
      </c>
      <c r="I119" s="6">
        <f>VLOOKUP(G119,Definitions!$B:$C,2,0)</f>
        <v>0.25</v>
      </c>
      <c r="J119" s="8">
        <v>45836</v>
      </c>
      <c r="K119" s="10">
        <v>10800</v>
      </c>
      <c r="M119" t="s">
        <v>491</v>
      </c>
      <c r="N119" t="s">
        <v>492</v>
      </c>
    </row>
    <row r="120" spans="1:14" x14ac:dyDescent="0.25">
      <c r="A120" t="s">
        <v>132</v>
      </c>
      <c r="B120" t="s">
        <v>164</v>
      </c>
      <c r="C120" t="s">
        <v>285</v>
      </c>
      <c r="D120" t="s">
        <v>317</v>
      </c>
      <c r="E120" t="s">
        <v>326</v>
      </c>
      <c r="F120" t="s">
        <v>446</v>
      </c>
      <c r="G120" t="s">
        <v>478</v>
      </c>
      <c r="H120" s="8">
        <v>45709</v>
      </c>
      <c r="I120" s="6">
        <f>VLOOKUP(G120,Definitions!$B:$C,2,0)</f>
        <v>0</v>
      </c>
      <c r="J120" s="8">
        <v>45757</v>
      </c>
      <c r="K120" s="10">
        <v>14500</v>
      </c>
      <c r="L120" t="s">
        <v>487</v>
      </c>
      <c r="M120" t="s">
        <v>488</v>
      </c>
      <c r="N120" t="s">
        <v>492</v>
      </c>
    </row>
    <row r="121" spans="1:14" x14ac:dyDescent="0.25">
      <c r="A121" t="s">
        <v>133</v>
      </c>
      <c r="B121" t="s">
        <v>166</v>
      </c>
      <c r="C121" t="s">
        <v>286</v>
      </c>
      <c r="D121" t="s">
        <v>321</v>
      </c>
      <c r="E121" t="s">
        <v>327</v>
      </c>
      <c r="F121" t="s">
        <v>447</v>
      </c>
      <c r="G121" t="s">
        <v>480</v>
      </c>
      <c r="H121" s="8">
        <v>45682</v>
      </c>
      <c r="I121" s="6">
        <f>VLOOKUP(G121,Definitions!$B:$C,2,0)</f>
        <v>1</v>
      </c>
      <c r="J121" s="8">
        <v>45709</v>
      </c>
      <c r="K121" s="10">
        <v>43400</v>
      </c>
      <c r="M121" t="s">
        <v>491</v>
      </c>
      <c r="N121" t="s">
        <v>492</v>
      </c>
    </row>
    <row r="122" spans="1:14" x14ac:dyDescent="0.25">
      <c r="A122" t="s">
        <v>134</v>
      </c>
      <c r="B122" t="s">
        <v>165</v>
      </c>
      <c r="C122" t="s">
        <v>287</v>
      </c>
      <c r="D122" t="s">
        <v>321</v>
      </c>
      <c r="E122" t="s">
        <v>326</v>
      </c>
      <c r="F122" t="s">
        <v>448</v>
      </c>
      <c r="G122" t="s">
        <v>481</v>
      </c>
      <c r="H122" s="8">
        <v>45694</v>
      </c>
      <c r="I122" s="6">
        <f>VLOOKUP(G122,Definitions!$B:$C,2,0)</f>
        <v>0.1</v>
      </c>
      <c r="J122" s="8">
        <v>45753</v>
      </c>
      <c r="K122" s="10">
        <v>24200</v>
      </c>
      <c r="M122" t="s">
        <v>490</v>
      </c>
      <c r="N122" t="s">
        <v>492</v>
      </c>
    </row>
    <row r="123" spans="1:14" x14ac:dyDescent="0.25">
      <c r="A123" t="s">
        <v>135</v>
      </c>
      <c r="B123" t="s">
        <v>164</v>
      </c>
      <c r="C123" t="s">
        <v>288</v>
      </c>
      <c r="D123" t="s">
        <v>322</v>
      </c>
      <c r="E123" t="s">
        <v>326</v>
      </c>
      <c r="F123" t="s">
        <v>449</v>
      </c>
      <c r="G123" t="s">
        <v>481</v>
      </c>
      <c r="H123" s="8">
        <v>45722</v>
      </c>
      <c r="I123" s="6">
        <f>VLOOKUP(G123,Definitions!$B:$C,2,0)</f>
        <v>0.1</v>
      </c>
      <c r="J123" s="8">
        <v>45759</v>
      </c>
      <c r="K123" s="10">
        <v>12100</v>
      </c>
      <c r="M123" t="s">
        <v>490</v>
      </c>
      <c r="N123" t="s">
        <v>494</v>
      </c>
    </row>
    <row r="124" spans="1:14" x14ac:dyDescent="0.25">
      <c r="A124" t="s">
        <v>136</v>
      </c>
      <c r="B124" t="s">
        <v>166</v>
      </c>
      <c r="C124" t="s">
        <v>289</v>
      </c>
      <c r="D124" t="s">
        <v>320</v>
      </c>
      <c r="E124" t="s">
        <v>324</v>
      </c>
      <c r="F124" t="s">
        <v>450</v>
      </c>
      <c r="G124" t="s">
        <v>483</v>
      </c>
      <c r="H124" s="8">
        <v>45705</v>
      </c>
      <c r="I124" s="6">
        <f>VLOOKUP(G124,Definitions!$B:$C,2,0)</f>
        <v>0.5</v>
      </c>
      <c r="J124" s="8">
        <v>45760</v>
      </c>
      <c r="K124" s="10">
        <v>49300</v>
      </c>
      <c r="M124" t="s">
        <v>488</v>
      </c>
      <c r="N124" t="s">
        <v>493</v>
      </c>
    </row>
    <row r="125" spans="1:14" x14ac:dyDescent="0.25">
      <c r="A125" t="s">
        <v>137</v>
      </c>
      <c r="B125" t="s">
        <v>164</v>
      </c>
      <c r="C125" t="s">
        <v>290</v>
      </c>
      <c r="D125" t="s">
        <v>318</v>
      </c>
      <c r="E125" t="s">
        <v>325</v>
      </c>
      <c r="F125" t="s">
        <v>451</v>
      </c>
      <c r="G125" t="s">
        <v>481</v>
      </c>
      <c r="H125" s="8">
        <v>45774</v>
      </c>
      <c r="I125" s="6">
        <f>VLOOKUP(G125,Definitions!$B:$C,2,0)</f>
        <v>0.1</v>
      </c>
      <c r="J125" s="8">
        <v>45802</v>
      </c>
      <c r="K125" s="10">
        <v>30300</v>
      </c>
      <c r="M125" t="s">
        <v>491</v>
      </c>
      <c r="N125" t="s">
        <v>492</v>
      </c>
    </row>
    <row r="126" spans="1:14" x14ac:dyDescent="0.25">
      <c r="A126" t="s">
        <v>138</v>
      </c>
      <c r="B126" t="s">
        <v>165</v>
      </c>
      <c r="C126" t="s">
        <v>291</v>
      </c>
      <c r="D126" t="s">
        <v>320</v>
      </c>
      <c r="E126" t="s">
        <v>326</v>
      </c>
      <c r="F126" t="s">
        <v>452</v>
      </c>
      <c r="G126" t="s">
        <v>479</v>
      </c>
      <c r="H126" s="8">
        <v>45767</v>
      </c>
      <c r="I126" s="6">
        <f>VLOOKUP(G126,Definitions!$B:$C,2,0)</f>
        <v>0.05</v>
      </c>
      <c r="J126" s="8">
        <v>45792</v>
      </c>
      <c r="K126" s="10">
        <v>34300</v>
      </c>
      <c r="M126" t="s">
        <v>489</v>
      </c>
      <c r="N126" t="s">
        <v>493</v>
      </c>
    </row>
    <row r="127" spans="1:14" x14ac:dyDescent="0.25">
      <c r="A127" t="s">
        <v>139</v>
      </c>
      <c r="B127" t="s">
        <v>165</v>
      </c>
      <c r="C127" t="s">
        <v>292</v>
      </c>
      <c r="D127" t="s">
        <v>318</v>
      </c>
      <c r="E127" t="s">
        <v>325</v>
      </c>
      <c r="F127" t="s">
        <v>453</v>
      </c>
      <c r="G127" t="s">
        <v>479</v>
      </c>
      <c r="H127" s="8">
        <v>45645</v>
      </c>
      <c r="I127" s="6">
        <f>VLOOKUP(G127,Definitions!$B:$C,2,0)</f>
        <v>0.05</v>
      </c>
      <c r="J127" s="8">
        <v>45683</v>
      </c>
      <c r="K127" s="10">
        <v>38100</v>
      </c>
      <c r="M127" t="s">
        <v>490</v>
      </c>
      <c r="N127" t="s">
        <v>492</v>
      </c>
    </row>
    <row r="128" spans="1:14" x14ac:dyDescent="0.25">
      <c r="A128" t="s">
        <v>140</v>
      </c>
      <c r="B128" t="s">
        <v>166</v>
      </c>
      <c r="C128" t="s">
        <v>293</v>
      </c>
      <c r="D128" t="s">
        <v>321</v>
      </c>
      <c r="E128" t="s">
        <v>327</v>
      </c>
      <c r="F128" t="s">
        <v>454</v>
      </c>
      <c r="G128" t="s">
        <v>479</v>
      </c>
      <c r="H128" s="8">
        <v>45710</v>
      </c>
      <c r="I128" s="6">
        <f>VLOOKUP(G128,Definitions!$B:$C,2,0)</f>
        <v>0.05</v>
      </c>
      <c r="J128" s="8">
        <v>45727</v>
      </c>
      <c r="K128" s="10">
        <v>12400</v>
      </c>
      <c r="M128" t="s">
        <v>490</v>
      </c>
      <c r="N128" t="s">
        <v>494</v>
      </c>
    </row>
    <row r="129" spans="1:14" x14ac:dyDescent="0.25">
      <c r="A129" t="s">
        <v>141</v>
      </c>
      <c r="B129" t="s">
        <v>166</v>
      </c>
      <c r="C129" t="s">
        <v>294</v>
      </c>
      <c r="D129" t="s">
        <v>320</v>
      </c>
      <c r="E129" t="s">
        <v>327</v>
      </c>
      <c r="F129" t="s">
        <v>455</v>
      </c>
      <c r="G129" t="s">
        <v>481</v>
      </c>
      <c r="H129" s="8">
        <v>45796</v>
      </c>
      <c r="I129" s="6">
        <f>VLOOKUP(G129,Definitions!$B:$C,2,0)</f>
        <v>0.1</v>
      </c>
      <c r="J129" s="8">
        <v>45818</v>
      </c>
      <c r="K129" s="10">
        <v>23500</v>
      </c>
      <c r="M129" t="s">
        <v>490</v>
      </c>
      <c r="N129" t="s">
        <v>492</v>
      </c>
    </row>
    <row r="130" spans="1:14" x14ac:dyDescent="0.25">
      <c r="A130" t="s">
        <v>142</v>
      </c>
      <c r="B130" t="s">
        <v>166</v>
      </c>
      <c r="C130" t="s">
        <v>295</v>
      </c>
      <c r="D130" t="s">
        <v>322</v>
      </c>
      <c r="E130" t="s">
        <v>323</v>
      </c>
      <c r="F130" t="s">
        <v>456</v>
      </c>
      <c r="G130" t="s">
        <v>479</v>
      </c>
      <c r="H130" s="8">
        <v>45786</v>
      </c>
      <c r="I130" s="6">
        <f>VLOOKUP(G130,Definitions!$B:$C,2,0)</f>
        <v>0.05</v>
      </c>
      <c r="J130" s="8">
        <v>45811</v>
      </c>
      <c r="K130" s="10">
        <v>34100</v>
      </c>
      <c r="M130" t="s">
        <v>489</v>
      </c>
      <c r="N130" t="s">
        <v>494</v>
      </c>
    </row>
    <row r="131" spans="1:14" x14ac:dyDescent="0.25">
      <c r="A131" t="s">
        <v>143</v>
      </c>
      <c r="B131" t="s">
        <v>165</v>
      </c>
      <c r="C131" t="s">
        <v>296</v>
      </c>
      <c r="D131" t="s">
        <v>321</v>
      </c>
      <c r="E131" t="s">
        <v>324</v>
      </c>
      <c r="F131" t="s">
        <v>457</v>
      </c>
      <c r="G131" t="s">
        <v>479</v>
      </c>
      <c r="H131" s="8">
        <v>45690</v>
      </c>
      <c r="I131" s="6">
        <f>VLOOKUP(G131,Definitions!$B:$C,2,0)</f>
        <v>0.05</v>
      </c>
      <c r="J131" s="8">
        <v>45736</v>
      </c>
      <c r="K131" s="10">
        <v>17000</v>
      </c>
      <c r="M131" t="s">
        <v>491</v>
      </c>
      <c r="N131" t="s">
        <v>494</v>
      </c>
    </row>
    <row r="132" spans="1:14" x14ac:dyDescent="0.25">
      <c r="A132" t="s">
        <v>144</v>
      </c>
      <c r="B132" t="s">
        <v>165</v>
      </c>
      <c r="C132" t="s">
        <v>297</v>
      </c>
      <c r="D132" t="s">
        <v>318</v>
      </c>
      <c r="E132" t="s">
        <v>324</v>
      </c>
      <c r="F132" t="s">
        <v>458</v>
      </c>
      <c r="G132" t="s">
        <v>483</v>
      </c>
      <c r="H132" s="8">
        <v>45750</v>
      </c>
      <c r="I132" s="6">
        <f>VLOOKUP(G132,Definitions!$B:$C,2,0)</f>
        <v>0.5</v>
      </c>
      <c r="J132" s="8">
        <v>45798</v>
      </c>
      <c r="K132" s="10">
        <v>19200</v>
      </c>
      <c r="M132" t="s">
        <v>491</v>
      </c>
      <c r="N132" t="s">
        <v>492</v>
      </c>
    </row>
    <row r="133" spans="1:14" x14ac:dyDescent="0.25">
      <c r="A133" t="s">
        <v>145</v>
      </c>
      <c r="B133" t="s">
        <v>166</v>
      </c>
      <c r="C133" t="s">
        <v>298</v>
      </c>
      <c r="D133" t="s">
        <v>318</v>
      </c>
      <c r="E133" t="s">
        <v>325</v>
      </c>
      <c r="F133" t="s">
        <v>459</v>
      </c>
      <c r="G133" t="s">
        <v>479</v>
      </c>
      <c r="H133" s="8">
        <v>45730</v>
      </c>
      <c r="I133" s="6">
        <f>VLOOKUP(G133,Definitions!$B:$C,2,0)</f>
        <v>0.05</v>
      </c>
      <c r="J133" s="8">
        <v>45788</v>
      </c>
      <c r="K133" s="10">
        <v>28500</v>
      </c>
      <c r="M133" t="s">
        <v>491</v>
      </c>
      <c r="N133" t="s">
        <v>493</v>
      </c>
    </row>
    <row r="134" spans="1:14" x14ac:dyDescent="0.25">
      <c r="A134" t="s">
        <v>146</v>
      </c>
      <c r="B134" t="s">
        <v>164</v>
      </c>
      <c r="C134" t="s">
        <v>299</v>
      </c>
      <c r="D134" t="s">
        <v>318</v>
      </c>
      <c r="E134" t="s">
        <v>323</v>
      </c>
      <c r="F134" t="s">
        <v>460</v>
      </c>
      <c r="G134" t="s">
        <v>480</v>
      </c>
      <c r="H134" s="8">
        <v>45637</v>
      </c>
      <c r="I134" s="6">
        <f>VLOOKUP(G134,Definitions!$B:$C,2,0)</f>
        <v>1</v>
      </c>
      <c r="J134" s="8">
        <v>45667</v>
      </c>
      <c r="K134" s="10">
        <v>10800</v>
      </c>
      <c r="M134" t="s">
        <v>489</v>
      </c>
      <c r="N134" t="s">
        <v>492</v>
      </c>
    </row>
    <row r="135" spans="1:14" x14ac:dyDescent="0.25">
      <c r="A135" t="s">
        <v>147</v>
      </c>
      <c r="B135" t="s">
        <v>165</v>
      </c>
      <c r="C135" t="s">
        <v>300</v>
      </c>
      <c r="D135" t="s">
        <v>317</v>
      </c>
      <c r="E135" t="s">
        <v>327</v>
      </c>
      <c r="F135" t="s">
        <v>461</v>
      </c>
      <c r="G135" t="s">
        <v>479</v>
      </c>
      <c r="H135" s="8">
        <v>45741</v>
      </c>
      <c r="I135" s="6">
        <f>VLOOKUP(G135,Definitions!$B:$C,2,0)</f>
        <v>0.05</v>
      </c>
      <c r="J135" s="8">
        <v>45775</v>
      </c>
      <c r="K135" s="10">
        <v>16700</v>
      </c>
      <c r="M135" t="s">
        <v>489</v>
      </c>
      <c r="N135" t="s">
        <v>492</v>
      </c>
    </row>
    <row r="136" spans="1:14" x14ac:dyDescent="0.25">
      <c r="A136" t="s">
        <v>148</v>
      </c>
      <c r="B136" t="s">
        <v>164</v>
      </c>
      <c r="C136" t="s">
        <v>301</v>
      </c>
      <c r="D136" t="s">
        <v>317</v>
      </c>
      <c r="E136" t="s">
        <v>324</v>
      </c>
      <c r="F136" t="s">
        <v>462</v>
      </c>
      <c r="G136" t="s">
        <v>478</v>
      </c>
      <c r="H136" s="8">
        <v>45673</v>
      </c>
      <c r="I136" s="6">
        <f>VLOOKUP(G136,Definitions!$B:$C,2,0)</f>
        <v>0</v>
      </c>
      <c r="J136" s="8">
        <v>45692</v>
      </c>
      <c r="K136" s="10">
        <v>31500</v>
      </c>
      <c r="L136" t="s">
        <v>486</v>
      </c>
      <c r="M136" t="s">
        <v>490</v>
      </c>
      <c r="N136" t="s">
        <v>494</v>
      </c>
    </row>
    <row r="137" spans="1:14" x14ac:dyDescent="0.25">
      <c r="A137" t="s">
        <v>149</v>
      </c>
      <c r="B137" t="s">
        <v>166</v>
      </c>
      <c r="C137" t="s">
        <v>302</v>
      </c>
      <c r="D137" t="s">
        <v>319</v>
      </c>
      <c r="E137" t="s">
        <v>324</v>
      </c>
      <c r="F137" t="s">
        <v>463</v>
      </c>
      <c r="G137" t="s">
        <v>483</v>
      </c>
      <c r="H137" s="8">
        <v>45755</v>
      </c>
      <c r="I137" s="6">
        <f>VLOOKUP(G137,Definitions!$B:$C,2,0)</f>
        <v>0.5</v>
      </c>
      <c r="J137" s="8">
        <v>45804</v>
      </c>
      <c r="K137" s="10">
        <v>46000</v>
      </c>
      <c r="M137" t="s">
        <v>491</v>
      </c>
      <c r="N137" t="s">
        <v>493</v>
      </c>
    </row>
    <row r="138" spans="1:14" x14ac:dyDescent="0.25">
      <c r="A138" t="s">
        <v>150</v>
      </c>
      <c r="B138" t="s">
        <v>166</v>
      </c>
      <c r="C138" t="s">
        <v>303</v>
      </c>
      <c r="D138" t="s">
        <v>320</v>
      </c>
      <c r="E138" t="s">
        <v>324</v>
      </c>
      <c r="F138" t="s">
        <v>464</v>
      </c>
      <c r="G138" t="s">
        <v>482</v>
      </c>
      <c r="H138" s="8">
        <v>45708</v>
      </c>
      <c r="I138" s="6">
        <f>VLOOKUP(G138,Definitions!$B:$C,2,0)</f>
        <v>0.25</v>
      </c>
      <c r="J138" s="8">
        <v>45764</v>
      </c>
      <c r="K138" s="10">
        <v>25200</v>
      </c>
      <c r="M138" t="s">
        <v>488</v>
      </c>
      <c r="N138" t="s">
        <v>494</v>
      </c>
    </row>
    <row r="139" spans="1:14" x14ac:dyDescent="0.25">
      <c r="A139" t="s">
        <v>151</v>
      </c>
      <c r="B139" t="s">
        <v>164</v>
      </c>
      <c r="C139" t="s">
        <v>304</v>
      </c>
      <c r="D139" t="s">
        <v>318</v>
      </c>
      <c r="E139" t="s">
        <v>324</v>
      </c>
      <c r="F139" t="s">
        <v>465</v>
      </c>
      <c r="G139" t="s">
        <v>479</v>
      </c>
      <c r="H139" s="8">
        <v>45752</v>
      </c>
      <c r="I139" s="6">
        <f>VLOOKUP(G139,Definitions!$B:$C,2,0)</f>
        <v>0.05</v>
      </c>
      <c r="J139" s="8">
        <v>45803</v>
      </c>
      <c r="K139" s="10">
        <v>41700</v>
      </c>
      <c r="M139" t="s">
        <v>491</v>
      </c>
      <c r="N139" t="s">
        <v>492</v>
      </c>
    </row>
    <row r="140" spans="1:14" x14ac:dyDescent="0.25">
      <c r="A140" t="s">
        <v>152</v>
      </c>
      <c r="B140" t="s">
        <v>164</v>
      </c>
      <c r="C140" t="s">
        <v>305</v>
      </c>
      <c r="D140" t="s">
        <v>317</v>
      </c>
      <c r="E140" t="s">
        <v>327</v>
      </c>
      <c r="F140" t="s">
        <v>466</v>
      </c>
      <c r="G140" t="s">
        <v>481</v>
      </c>
      <c r="H140" s="8">
        <v>45739</v>
      </c>
      <c r="I140" s="6">
        <f>VLOOKUP(G140,Definitions!$B:$C,2,0)</f>
        <v>0.1</v>
      </c>
      <c r="J140" s="8">
        <v>45765</v>
      </c>
      <c r="K140" s="10">
        <v>39500</v>
      </c>
      <c r="M140" t="s">
        <v>489</v>
      </c>
      <c r="N140" t="s">
        <v>493</v>
      </c>
    </row>
    <row r="141" spans="1:14" x14ac:dyDescent="0.25">
      <c r="A141" t="s">
        <v>153</v>
      </c>
      <c r="B141" t="s">
        <v>164</v>
      </c>
      <c r="C141" t="s">
        <v>306</v>
      </c>
      <c r="D141" t="s">
        <v>317</v>
      </c>
      <c r="E141" t="s">
        <v>325</v>
      </c>
      <c r="F141" t="s">
        <v>467</v>
      </c>
      <c r="G141" t="s">
        <v>481</v>
      </c>
      <c r="H141" s="8">
        <v>45788</v>
      </c>
      <c r="I141" s="6">
        <f>VLOOKUP(G141,Definitions!$B:$C,2,0)</f>
        <v>0.1</v>
      </c>
      <c r="J141" s="8">
        <v>45838</v>
      </c>
      <c r="K141" s="10">
        <v>41300</v>
      </c>
      <c r="M141" t="s">
        <v>491</v>
      </c>
      <c r="N141" t="s">
        <v>493</v>
      </c>
    </row>
    <row r="142" spans="1:14" x14ac:dyDescent="0.25">
      <c r="A142" t="s">
        <v>154</v>
      </c>
      <c r="B142" t="s">
        <v>165</v>
      </c>
      <c r="C142" t="s">
        <v>307</v>
      </c>
      <c r="D142" t="s">
        <v>322</v>
      </c>
      <c r="E142" t="s">
        <v>326</v>
      </c>
      <c r="F142" t="s">
        <v>468</v>
      </c>
      <c r="G142" t="s">
        <v>482</v>
      </c>
      <c r="H142" s="8">
        <v>45722</v>
      </c>
      <c r="I142" s="6">
        <f>VLOOKUP(G142,Definitions!$B:$C,2,0)</f>
        <v>0.25</v>
      </c>
      <c r="J142" s="8">
        <v>45761</v>
      </c>
      <c r="K142" s="10">
        <v>26900</v>
      </c>
      <c r="M142" t="s">
        <v>491</v>
      </c>
      <c r="N142" t="s">
        <v>494</v>
      </c>
    </row>
    <row r="143" spans="1:14" x14ac:dyDescent="0.25">
      <c r="A143" t="s">
        <v>155</v>
      </c>
      <c r="B143" t="s">
        <v>164</v>
      </c>
      <c r="C143" t="s">
        <v>308</v>
      </c>
      <c r="D143" t="s">
        <v>321</v>
      </c>
      <c r="E143" t="s">
        <v>326</v>
      </c>
      <c r="F143" t="s">
        <v>469</v>
      </c>
      <c r="G143" t="s">
        <v>480</v>
      </c>
      <c r="H143" s="8">
        <v>45759</v>
      </c>
      <c r="I143" s="6">
        <f>VLOOKUP(G143,Definitions!$B:$C,2,0)</f>
        <v>1</v>
      </c>
      <c r="J143" s="8">
        <v>45802</v>
      </c>
      <c r="K143" s="10">
        <v>10500</v>
      </c>
      <c r="M143" t="s">
        <v>488</v>
      </c>
      <c r="N143" t="s">
        <v>494</v>
      </c>
    </row>
    <row r="144" spans="1:14" x14ac:dyDescent="0.25">
      <c r="A144" t="s">
        <v>156</v>
      </c>
      <c r="B144" t="s">
        <v>165</v>
      </c>
      <c r="C144" t="s">
        <v>309</v>
      </c>
      <c r="D144" t="s">
        <v>321</v>
      </c>
      <c r="E144" t="s">
        <v>326</v>
      </c>
      <c r="F144" t="s">
        <v>470</v>
      </c>
      <c r="G144" t="s">
        <v>479</v>
      </c>
      <c r="H144" s="8">
        <v>45665</v>
      </c>
      <c r="I144" s="6">
        <f>VLOOKUP(G144,Definitions!$B:$C,2,0)</f>
        <v>0.05</v>
      </c>
      <c r="J144" s="8">
        <v>45706</v>
      </c>
      <c r="K144" s="10">
        <v>38300</v>
      </c>
      <c r="M144" t="s">
        <v>488</v>
      </c>
      <c r="N144" t="s">
        <v>494</v>
      </c>
    </row>
    <row r="145" spans="1:14" x14ac:dyDescent="0.25">
      <c r="A145" t="s">
        <v>157</v>
      </c>
      <c r="B145" t="s">
        <v>165</v>
      </c>
      <c r="C145" t="s">
        <v>310</v>
      </c>
      <c r="D145" t="s">
        <v>322</v>
      </c>
      <c r="E145" t="s">
        <v>327</v>
      </c>
      <c r="F145" t="s">
        <v>471</v>
      </c>
      <c r="G145" t="s">
        <v>482</v>
      </c>
      <c r="H145" s="8">
        <v>45652</v>
      </c>
      <c r="I145" s="6">
        <f>VLOOKUP(G145,Definitions!$B:$C,2,0)</f>
        <v>0.25</v>
      </c>
      <c r="J145" s="8">
        <v>45667</v>
      </c>
      <c r="K145" s="10">
        <v>15400</v>
      </c>
      <c r="M145" t="s">
        <v>491</v>
      </c>
      <c r="N145" t="s">
        <v>492</v>
      </c>
    </row>
    <row r="146" spans="1:14" x14ac:dyDescent="0.25">
      <c r="A146" t="s">
        <v>158</v>
      </c>
      <c r="B146" t="s">
        <v>165</v>
      </c>
      <c r="C146" t="s">
        <v>311</v>
      </c>
      <c r="D146" t="s">
        <v>321</v>
      </c>
      <c r="E146" t="s">
        <v>324</v>
      </c>
      <c r="F146" t="s">
        <v>472</v>
      </c>
      <c r="G146" t="s">
        <v>480</v>
      </c>
      <c r="H146" s="8">
        <v>45714</v>
      </c>
      <c r="I146" s="6">
        <f>VLOOKUP(G146,Definitions!$B:$C,2,0)</f>
        <v>1</v>
      </c>
      <c r="J146" s="8">
        <v>45770</v>
      </c>
      <c r="K146" s="10">
        <v>14500</v>
      </c>
      <c r="M146" t="s">
        <v>490</v>
      </c>
      <c r="N146" t="s">
        <v>493</v>
      </c>
    </row>
    <row r="147" spans="1:14" x14ac:dyDescent="0.25">
      <c r="A147" t="s">
        <v>159</v>
      </c>
      <c r="B147" t="s">
        <v>165</v>
      </c>
      <c r="C147" t="s">
        <v>312</v>
      </c>
      <c r="D147" t="s">
        <v>318</v>
      </c>
      <c r="E147" t="s">
        <v>325</v>
      </c>
      <c r="F147" t="s">
        <v>473</v>
      </c>
      <c r="G147" t="s">
        <v>482</v>
      </c>
      <c r="H147" s="8">
        <v>45706</v>
      </c>
      <c r="I147" s="6">
        <f>VLOOKUP(G147,Definitions!$B:$C,2,0)</f>
        <v>0.25</v>
      </c>
      <c r="J147" s="8">
        <v>45729</v>
      </c>
      <c r="K147" s="10">
        <v>34700</v>
      </c>
      <c r="M147" t="s">
        <v>489</v>
      </c>
      <c r="N147" t="s">
        <v>494</v>
      </c>
    </row>
    <row r="148" spans="1:14" x14ac:dyDescent="0.25">
      <c r="A148" t="s">
        <v>160</v>
      </c>
      <c r="B148" t="s">
        <v>166</v>
      </c>
      <c r="C148" t="s">
        <v>313</v>
      </c>
      <c r="D148" t="s">
        <v>321</v>
      </c>
      <c r="E148" t="s">
        <v>325</v>
      </c>
      <c r="F148" t="s">
        <v>474</v>
      </c>
      <c r="G148" t="s">
        <v>483</v>
      </c>
      <c r="H148" s="8">
        <v>45661</v>
      </c>
      <c r="I148" s="6">
        <f>VLOOKUP(G148,Definitions!$B:$C,2,0)</f>
        <v>0.5</v>
      </c>
      <c r="J148" s="8">
        <v>45687</v>
      </c>
      <c r="K148" s="10">
        <v>32200</v>
      </c>
      <c r="M148" t="s">
        <v>488</v>
      </c>
      <c r="N148" t="s">
        <v>493</v>
      </c>
    </row>
    <row r="149" spans="1:14" x14ac:dyDescent="0.25">
      <c r="A149" t="s">
        <v>161</v>
      </c>
      <c r="B149" t="s">
        <v>166</v>
      </c>
      <c r="C149" t="s">
        <v>314</v>
      </c>
      <c r="D149" t="s">
        <v>318</v>
      </c>
      <c r="E149" t="s">
        <v>324</v>
      </c>
      <c r="F149" t="s">
        <v>475</v>
      </c>
      <c r="G149" t="s">
        <v>482</v>
      </c>
      <c r="H149" s="8">
        <v>45647</v>
      </c>
      <c r="I149" s="6">
        <f>VLOOKUP(G149,Definitions!$B:$C,2,0)</f>
        <v>0.25</v>
      </c>
      <c r="J149" s="8">
        <v>45673</v>
      </c>
      <c r="K149" s="10">
        <v>44300</v>
      </c>
      <c r="M149" t="s">
        <v>490</v>
      </c>
      <c r="N149" t="s">
        <v>492</v>
      </c>
    </row>
    <row r="150" spans="1:14" x14ac:dyDescent="0.25">
      <c r="A150" t="s">
        <v>162</v>
      </c>
      <c r="B150" t="s">
        <v>164</v>
      </c>
      <c r="C150" t="s">
        <v>315</v>
      </c>
      <c r="D150" t="s">
        <v>317</v>
      </c>
      <c r="E150" t="s">
        <v>326</v>
      </c>
      <c r="F150" t="s">
        <v>476</v>
      </c>
      <c r="G150" t="s">
        <v>478</v>
      </c>
      <c r="H150" s="8">
        <v>45818</v>
      </c>
      <c r="I150" s="6">
        <f>VLOOKUP(G150,Definitions!$B:$C,2,0)</f>
        <v>0</v>
      </c>
      <c r="J150" s="8">
        <v>45878</v>
      </c>
      <c r="K150" s="10">
        <v>45800</v>
      </c>
      <c r="L150" t="s">
        <v>485</v>
      </c>
      <c r="M150" t="s">
        <v>491</v>
      </c>
      <c r="N150" t="s">
        <v>492</v>
      </c>
    </row>
    <row r="151" spans="1:14" x14ac:dyDescent="0.25">
      <c r="A151" t="s">
        <v>163</v>
      </c>
      <c r="B151" t="s">
        <v>164</v>
      </c>
      <c r="C151" t="s">
        <v>316</v>
      </c>
      <c r="D151" t="s">
        <v>318</v>
      </c>
      <c r="E151" t="s">
        <v>323</v>
      </c>
      <c r="F151" t="s">
        <v>477</v>
      </c>
      <c r="G151" t="s">
        <v>479</v>
      </c>
      <c r="H151" s="8">
        <v>45680</v>
      </c>
      <c r="I151" s="6">
        <f>VLOOKUP(G151,Definitions!$B:$C,2,0)</f>
        <v>0.05</v>
      </c>
      <c r="J151" s="8">
        <v>45728</v>
      </c>
      <c r="K151" s="10">
        <v>46500</v>
      </c>
      <c r="M151" t="s">
        <v>491</v>
      </c>
      <c r="N151" t="s">
        <v>492</v>
      </c>
    </row>
  </sheetData>
  <dataValidations count="1">
    <dataValidation type="list" allowBlank="1" showInputMessage="1" showErrorMessage="1" sqref="G2:G1048576" xr:uid="{076D8ECE-078C-4801-ADB9-D375DAE1F0AB}">
      <formula1>Stages</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3C9E6-677B-4D05-9BE3-6486C58768E4}">
  <dimension ref="A1:C7"/>
  <sheetViews>
    <sheetView workbookViewId="0">
      <selection activeCell="J23" sqref="J23"/>
    </sheetView>
  </sheetViews>
  <sheetFormatPr baseColWidth="10" defaultRowHeight="15" x14ac:dyDescent="0.25"/>
  <cols>
    <col min="1" max="1" width="3.42578125" customWidth="1"/>
    <col min="2" max="2" width="15.7109375" customWidth="1"/>
    <col min="3" max="3" width="17.140625" customWidth="1"/>
  </cols>
  <sheetData>
    <row r="1" spans="1:3" x14ac:dyDescent="0.25">
      <c r="A1" s="3" t="s">
        <v>499</v>
      </c>
      <c r="B1" s="3" t="s">
        <v>497</v>
      </c>
      <c r="C1" s="3" t="s">
        <v>498</v>
      </c>
    </row>
    <row r="2" spans="1:3" x14ac:dyDescent="0.25">
      <c r="A2">
        <v>1</v>
      </c>
      <c r="B2" t="s">
        <v>479</v>
      </c>
      <c r="C2" s="4">
        <v>0.05</v>
      </c>
    </row>
    <row r="3" spans="1:3" x14ac:dyDescent="0.25">
      <c r="A3">
        <v>2</v>
      </c>
      <c r="B3" t="s">
        <v>481</v>
      </c>
      <c r="C3" s="4">
        <v>0.1</v>
      </c>
    </row>
    <row r="4" spans="1:3" x14ac:dyDescent="0.25">
      <c r="A4">
        <v>3</v>
      </c>
      <c r="B4" t="s">
        <v>482</v>
      </c>
      <c r="C4" s="4">
        <v>0.25</v>
      </c>
    </row>
    <row r="5" spans="1:3" x14ac:dyDescent="0.25">
      <c r="A5">
        <v>4</v>
      </c>
      <c r="B5" t="s">
        <v>483</v>
      </c>
      <c r="C5" s="4">
        <v>0.5</v>
      </c>
    </row>
    <row r="6" spans="1:3" x14ac:dyDescent="0.25">
      <c r="A6">
        <v>5</v>
      </c>
      <c r="B6" t="s">
        <v>480</v>
      </c>
      <c r="C6" s="4">
        <v>1</v>
      </c>
    </row>
    <row r="7" spans="1:3" x14ac:dyDescent="0.25">
      <c r="A7">
        <v>6</v>
      </c>
      <c r="B7" t="s">
        <v>478</v>
      </c>
      <c r="C7" s="4">
        <v>0</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67066-07F7-4373-8AA0-88569F1CA810}">
  <dimension ref="A1:A2"/>
  <sheetViews>
    <sheetView workbookViewId="0">
      <selection activeCell="A19" sqref="A19"/>
    </sheetView>
  </sheetViews>
  <sheetFormatPr baseColWidth="10" defaultColWidth="9.140625" defaultRowHeight="15" x14ac:dyDescent="0.25"/>
  <cols>
    <col min="1" max="1" width="116.28515625" style="1" customWidth="1"/>
  </cols>
  <sheetData>
    <row r="1" spans="1:1" x14ac:dyDescent="0.25">
      <c r="A1" s="2" t="s">
        <v>496</v>
      </c>
    </row>
    <row r="2" spans="1:1" ht="255" x14ac:dyDescent="0.25">
      <c r="A2" s="1" t="s">
        <v>495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E263CEF3DAA244689451243224BF925" ma:contentTypeVersion="10" ma:contentTypeDescription="Create a new document." ma:contentTypeScope="" ma:versionID="448abde41a74aa02d50c11f1e7c9f129">
  <xsd:schema xmlns:xsd="http://www.w3.org/2001/XMLSchema" xmlns:xs="http://www.w3.org/2001/XMLSchema" xmlns:p="http://schemas.microsoft.com/office/2006/metadata/properties" xmlns:ns2="dde264e5-0df7-4f42-b9d3-ff1a874c70d8" targetNamespace="http://schemas.microsoft.com/office/2006/metadata/properties" ma:root="true" ma:fieldsID="d8e14bb92fdb2b08da6b226ad339986c" ns2:_="">
    <xsd:import namespace="dde264e5-0df7-4f42-b9d3-ff1a874c70d8"/>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de264e5-0df7-4f42-b9d3-ff1a874c70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C529E8E-1F6F-4C4D-A90F-5B179EDFE5D1}">
  <ds:schemaRefs>
    <ds:schemaRef ds:uri="http://schemas.microsoft.com/sharepoint/v3/contenttype/forms"/>
  </ds:schemaRefs>
</ds:datastoreItem>
</file>

<file path=customXml/itemProps2.xml><?xml version="1.0" encoding="utf-8"?>
<ds:datastoreItem xmlns:ds="http://schemas.openxmlformats.org/officeDocument/2006/customXml" ds:itemID="{12FB2519-F8B7-40C3-8E8D-053338D6DBC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de264e5-0df7-4f42-b9d3-ff1a874c70d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996CB07-0F9C-4A6C-92D7-6F2B109B8126}">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3</vt:i4>
      </vt:variant>
      <vt:variant>
        <vt:lpstr>Benannte Bereiche</vt:lpstr>
      </vt:variant>
      <vt:variant>
        <vt:i4>1</vt:i4>
      </vt:variant>
    </vt:vector>
  </HeadingPairs>
  <TitlesOfParts>
    <vt:vector size="4" baseType="lpstr">
      <vt:lpstr>Sales Pipeline</vt:lpstr>
      <vt:lpstr>Definitions</vt:lpstr>
      <vt:lpstr>Instructions</vt:lpstr>
      <vt:lpstr>Stages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Sperling</dc:creator>
  <cp:lastModifiedBy>Martin Sperling</cp:lastModifiedBy>
  <dcterms:created xsi:type="dcterms:W3CDTF">2025-05-21T19:37:49Z</dcterms:created>
  <dcterms:modified xsi:type="dcterms:W3CDTF">2025-05-23T12:02:29Z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0x0101006E263CEF3DAA244689451243224BF925</vt:lpwstr>
  </property>
</Properties>
</file>